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codeName="ThisWorkbook" defaultThemeVersion="124226"/>
  <mc:AlternateContent xmlns:mc="http://schemas.openxmlformats.org/markup-compatibility/2006">
    <mc:Choice Requires="x15">
      <x15ac:absPath xmlns:x15ac="http://schemas.microsoft.com/office/spreadsheetml/2010/11/ac" url="https://microsoftapc-my.sharepoint.com/personal/v-joyliu1_microsoft_com/Documents/Hackathon/"/>
    </mc:Choice>
  </mc:AlternateContent>
  <xr:revisionPtr revIDLastSave="37" documentId="8_{B1B4EF4B-3F69-4A0F-ACD0-1667F0DE9ED6}" xr6:coauthVersionLast="47" xr6:coauthVersionMax="47" xr10:uidLastSave="{A8A4EC01-07C7-4265-BFE2-845CD83FF890}"/>
  <bookViews>
    <workbookView xWindow="-110" yWindow="-110" windowWidth="19420" windowHeight="10300" firstSheet="2" activeTab="2" xr2:uid="{00000000-000D-0000-FFFF-FFFF00000000}"/>
  </bookViews>
  <sheets>
    <sheet name="Cover" sheetId="33" state="hidden" r:id="rId1"/>
    <sheet name="Summary" sheetId="58" r:id="rId2"/>
    <sheet name="OUTPUT" sheetId="60" r:id="rId3"/>
    <sheet name="Introduction" sheetId="35" state="hidden" r:id="rId4"/>
    <sheet name="Rules of measurement" sheetId="26" state="hidden" r:id="rId5"/>
    <sheet name="PER Budget" sheetId="55" r:id="rId6"/>
    <sheet name="QS Estimation" sheetId="57" r:id="rId7"/>
    <sheet name="Vendor Quotation" sheetId="20" r:id="rId8"/>
    <sheet name="MAPPING RULES" sheetId="56" r:id="rId9"/>
    <sheet name="Historical Unit Rates" sheetId="59" r:id="rId10"/>
    <sheet name="HYE新增项" sheetId="46" state="hidden" r:id="rId11"/>
    <sheet name="HYE-option" sheetId="47"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a">#REF!</definedName>
    <definedName name="__________________num031">IF(ISERROR(FIND(")+",Text03,230)),LEN(Text03),FIND(")+",Text03,230))</definedName>
    <definedName name="__________________num032">IF(ISERROR(FIND(")+",text03_1,230)),LEN(text03_1),FIND(")+",text03_1,230))</definedName>
    <definedName name="__________________num033">IF(ISERROR(FIND(")+",text03_2,230)),LEN(text03_2),FIND(")+",text03_2,230))</definedName>
    <definedName name="__________________num1">IF(ISERROR(FIND(")+",_xleta.TEXT,230)),LEN(_xleta.TEXT),FIND(")+",_xleta.TEXT,230))</definedName>
    <definedName name="__________________num2">IF(ISERROR(FIND(")+",text_1,230)),LEN(text_1),FIND(")+",text_1,230))</definedName>
    <definedName name="__________________num3">IF(ISERROR(FIND(")+",text_2,230)),LEN(text_2),FIND(")+",text_2,230))</definedName>
    <definedName name="_________________num031">IF(ISERROR(FIND(")+",Text03,230)),LEN(Text03),FIND(")+",Text03,230))</definedName>
    <definedName name="_________________num032">IF(ISERROR(FIND(")+",text03_1,230)),LEN(text03_1),FIND(")+",text03_1,230))</definedName>
    <definedName name="_________________num033">IF(ISERROR(FIND(")+",text03_2,230)),LEN(text03_2),FIND(")+",text03_2,230))</definedName>
    <definedName name="_________________num1">IF(ISERROR(FIND(")+",_xleta.TEXT,230)),LEN(_xleta.TEXT),FIND(")+",_xleta.TEXT,230))</definedName>
    <definedName name="_________________num2">IF(ISERROR(FIND(")+",text_1,230)),LEN(text_1),FIND(")+",text_1,230))</definedName>
    <definedName name="_________________num3">IF(ISERROR(FIND(")+",text_2,230)),LEN(text_2),FIND(")+",text_2,230))</definedName>
    <definedName name="________________num031">IF(ISERROR(FIND(")+",Text03,230)),LEN(Text03),FIND(")+",Text03,230))</definedName>
    <definedName name="________________num032">IF(ISERROR(FIND(")+",text03_1,230)),LEN(text03_1),FIND(")+",text03_1,230))</definedName>
    <definedName name="________________NUM0321">IF(ISERROR(FIND(")+",text03_1,230)),LEN(text03_1),FIND(")+",text03_1,230))</definedName>
    <definedName name="________________num033">IF(ISERROR(FIND(")+",text03_2,230)),LEN(text03_2),FIND(")+",text03_2,230))</definedName>
    <definedName name="________________num1">IF(ISERROR(FIND(")+",_xleta.TEXT,230)),LEN(_xleta.TEXT),FIND(")+",_xleta.TEXT,230))</definedName>
    <definedName name="________________num2">IF(ISERROR(FIND(")+",text_1,230)),LEN(text_1),FIND(")+",text_1,230))</definedName>
    <definedName name="________________num3">IF(ISERROR(FIND(")+",text_2,230)),LEN(text_2),FIND(")+",text_2,230))</definedName>
    <definedName name="_______________num031">IF(ISERROR(FIND(")+",Text03,230)),LEN(Text03),FIND(")+",Text03,230))</definedName>
    <definedName name="_______________num032">IF(ISERROR(FIND(")+",text03_1,230)),LEN(text03_1),FIND(")+",text03_1,230))</definedName>
    <definedName name="_______________num033">IF(ISERROR(FIND(")+",text03_2,230)),LEN(text03_2),FIND(")+",text03_2,230))</definedName>
    <definedName name="_______________num1">IF(ISERROR(FIND(")+",_xleta.TEXT,230)),LEN(_xleta.TEXT),FIND(")+",_xleta.TEXT,230))</definedName>
    <definedName name="_______________num2">IF(ISERROR(FIND(")+",text_1,230)),LEN(text_1),FIND(")+",text_1,230))</definedName>
    <definedName name="_______________num3">IF(ISERROR(FIND(")+",text_2,230)),LEN(text_2),FIND(")+",text_2,230))</definedName>
    <definedName name="______________num031">IF(ISERROR(FIND(")+",Text03,230)),LEN(Text03),FIND(")+",Text03,230))</definedName>
    <definedName name="______________num032">IF(ISERROR(FIND(")+",text03_1,230)),LEN(text03_1),FIND(")+",text03_1,230))</definedName>
    <definedName name="______________num033">IF(ISERROR(FIND(")+",text03_2,230)),LEN(text03_2),FIND(")+",text03_2,230))</definedName>
    <definedName name="______________num1">IF(ISERROR(FIND(")+",_xleta.TEXT,230)),LEN(_xleta.TEXT),FIND(")+",_xleta.TEXT,230))</definedName>
    <definedName name="______________num2">IF(ISERROR(FIND(")+",text_1,230)),LEN(text_1),FIND(")+",text_1,230))</definedName>
    <definedName name="______________num3">IF(ISERROR(FIND(")+",text_2,230)),LEN(text_2),FIND(")+",text_2,230))</definedName>
    <definedName name="_____________num031">IF(ISERROR(FIND(")+",Text03,230)),LEN(Text03),FIND(")+",Text03,230))</definedName>
    <definedName name="_____________num032">IF(ISERROR(FIND(")+",text03_1,230)),LEN(text03_1),FIND(")+",text03_1,230))</definedName>
    <definedName name="_____________NUM0321">IF(ISERROR(FIND(")+",text03_1,230)),LEN(text03_1),FIND(")+",text03_1,230))</definedName>
    <definedName name="_____________num033">IF(ISERROR(FIND(")+",text03_2,230)),LEN(text03_2),FIND(")+",text03_2,230))</definedName>
    <definedName name="_____________num1">IF(ISERROR(FIND(")+",_xleta.TEXT,230)),LEN(_xleta.TEXT),FIND(")+",_xleta.TEXT,230))</definedName>
    <definedName name="_____________num2">IF(ISERROR(FIND(")+",text_1,230)),LEN(text_1),FIND(")+",text_1,230))</definedName>
    <definedName name="_____________num3">IF(ISERROR(FIND(")+",text_2,230)),LEN(text_2),FIND(")+",text_2,230))</definedName>
    <definedName name="____________num031">IF(ISERROR(FIND(")+",Text03,230)),LEN(Text03),FIND(")+",Text03,230))</definedName>
    <definedName name="____________num032">IF(ISERROR(FIND(")+",text03_1,230)),LEN(text03_1),FIND(")+",text03_1,230))</definedName>
    <definedName name="____________NUM0321">IF(ISERROR(FIND(")+",text03_1,230)),LEN(text03_1),FIND(")+",text03_1,230))</definedName>
    <definedName name="____________num033">IF(ISERROR(FIND(")+",text03_2,230)),LEN(text03_2),FIND(")+",text03_2,230))</definedName>
    <definedName name="____________num1">IF(ISERROR(FIND(")+",_xleta.TEXT,230)),LEN(_xleta.TEXT),FIND(")+",_xleta.TEXT,230))</definedName>
    <definedName name="____________num2">IF(ISERROR(FIND(")+",text_1,230)),LEN(text_1),FIND(")+",text_1,230))</definedName>
    <definedName name="____________num3">IF(ISERROR(FIND(")+",text_2,230)),LEN(text_2),FIND(")+",text_2,230))</definedName>
    <definedName name="___________num031">IF(ISERROR(FIND(")+",Text03,230)),LEN(Text03),FIND(")+",Text03,230))</definedName>
    <definedName name="___________num032">IF(ISERROR(FIND(")+",[1]!text03_1,230)),LEN([1]!text03_1),FIND(")+",[1]!text03_1,230))</definedName>
    <definedName name="___________NUM0321">IF(ISERROR(FIND(")+",[1]!text03_1,230)),LEN([1]!text03_1),FIND(")+",[1]!text03_1,230))</definedName>
    <definedName name="___________num033">IF(ISERROR(FIND(")+",[1]!text03_2,230)),LEN([1]!text03_2),FIND(")+",[1]!text03_2,230))</definedName>
    <definedName name="___________num1">IF(ISERROR(FIND(")+",_xleta.TEXT,230)),LEN(_xleta.TEXT),FIND(")+",_xleta.TEXT,230))</definedName>
    <definedName name="___________num2">IF(ISERROR(FIND(")+",[1]!text_1,230)),LEN([1]!text_1),FIND(")+",[1]!text_1,230))</definedName>
    <definedName name="___________num3">IF(ISERROR(FIND(")+",[1]!text_2,230)),LEN([1]!text_2),FIND(")+",[1]!text_2,230))</definedName>
    <definedName name="__________num031">IF(ISERROR(FIND(")+",Text03,230)),LEN(Text03),FIND(")+",Text03,230))</definedName>
    <definedName name="__________num032">IF(ISERROR(FIND(")+",[1]!text03_1,230)),LEN([1]!text03_1),FIND(")+",[1]!text03_1,230))</definedName>
    <definedName name="__________NUM0321">IF(ISERROR(FIND(")+",[1]!text03_1,230)),LEN([1]!text03_1),FIND(")+",[1]!text03_1,230))</definedName>
    <definedName name="__________num033">IF(ISERROR(FIND(")+",[1]!text03_2,230)),LEN([1]!text03_2),FIND(")+",[1]!text03_2,230))</definedName>
    <definedName name="__________num1">IF(ISERROR(FIND(")+",_xleta.TEXT,230)),LEN(_xleta.TEXT),FIND(")+",_xleta.TEXT,230))</definedName>
    <definedName name="__________num2">IF(ISERROR(FIND(")+",[1]!text_1,230)),LEN([1]!text_1),FIND(")+",[1]!text_1,230))</definedName>
    <definedName name="__________num3">IF(ISERROR(FIND(")+",[1]!text_2,230)),LEN([1]!text_2),FIND(")+",[1]!text_2,230))</definedName>
    <definedName name="_________num031">IF(ISERROR(FIND(")+",Text03,230)),LEN(Text03),FIND(")+",Text03,230))</definedName>
    <definedName name="_________num032">IF(ISERROR(FIND(")+",text03_1,230)),LEN(text03_1),FIND(")+",text03_1,230))</definedName>
    <definedName name="_________NUM0321">IF(ISERROR(FIND(")+",text03_1,230)),LEN(text03_1),FIND(")+",text03_1,230))</definedName>
    <definedName name="_________num033">IF(ISERROR(FIND(")+",text03_2,230)),LEN(text03_2),FIND(")+",text03_2,230))</definedName>
    <definedName name="_________num1">IF(ISERROR(FIND(")+",_xleta.TEXT,230)),LEN(_xleta.TEXT),FIND(")+",_xleta.TEXT,230))</definedName>
    <definedName name="_________num2">IF(ISERROR(FIND(")+",text_1,230)),LEN(text_1),FIND(")+",text_1,230))</definedName>
    <definedName name="_________num3">IF(ISERROR(FIND(")+",text_2,230)),LEN(text_2),FIND(")+",text_2,230))</definedName>
    <definedName name="________num031">IF(ISERROR(FIND(")+",Text03,230)),LEN(Text03),FIND(")+",Text03,230))</definedName>
    <definedName name="________num032">IF(ISERROR(FIND(")+",text03_1,230)),LEN(text03_1),FIND(")+",text03_1,230))</definedName>
    <definedName name="________NUM0321">IF(ISERROR(FIND(")+",text03_1,230)),LEN(text03_1),FIND(")+",text03_1,230))</definedName>
    <definedName name="________num033">IF(ISERROR(FIND(")+",text03_2,230)),LEN(text03_2),FIND(")+",text03_2,230))</definedName>
    <definedName name="________num1">IF(ISERROR(FIND(")+",_xleta.TEXT,230)),LEN(_xleta.TEXT),FIND(")+",_xleta.TEXT,230))</definedName>
    <definedName name="________num2">IF(ISERROR(FIND(")+",text_1,230)),LEN(text_1),FIND(")+",text_1,230))</definedName>
    <definedName name="________num3">IF(ISERROR(FIND(")+",text_2,230)),LEN(text_2),FIND(")+",text_2,230))</definedName>
    <definedName name="_______num031">IF(ISERROR(FIND(")+",Text03,230)),LEN(Text03),FIND(")+",Text03,230))</definedName>
    <definedName name="_______num032">IF(ISERROR(FIND(")+",text03_1,230)),LEN(text03_1),FIND(")+",text03_1,230))</definedName>
    <definedName name="_______NUM0321">IF(ISERROR(FIND(")+",text03_1,230)),LEN(text03_1),FIND(")+",text03_1,230))</definedName>
    <definedName name="_______num033">IF(ISERROR(FIND(")+",text03_2,230)),LEN(text03_2),FIND(")+",text03_2,230))</definedName>
    <definedName name="_______num1">IF(ISERROR(FIND(")+",_xleta.TEXT,230)),LEN(_xleta.TEXT),FIND(")+",_xleta.TEXT,230))</definedName>
    <definedName name="_______num2">IF(ISERROR(FIND(")+",text_1,230)),LEN(text_1),FIND(")+",text_1,230))</definedName>
    <definedName name="_______num3">IF(ISERROR(FIND(")+",text_2,230)),LEN(text_2),FIND(")+",text_2,230))</definedName>
    <definedName name="______num031">IF(ISERROR(FIND(")+",Text03,230)),LEN(Text03),FIND(")+",Text03,230))</definedName>
    <definedName name="______num032">IF(ISERROR(FIND(")+",text03_1,230)),LEN(text03_1),FIND(")+",text03_1,230))</definedName>
    <definedName name="______NUM0321">IF(ISERROR(FIND(")+",text03_1,230)),LEN(text03_1),FIND(")+",text03_1,230))</definedName>
    <definedName name="______num033">IF(ISERROR(FIND(")+",text03_2,230)),LEN(text03_2),FIND(")+",text03_2,230))</definedName>
    <definedName name="______num1">IF(ISERROR(FIND(")+",_xleta.TEXT,230)),LEN(_xleta.TEXT),FIND(")+",_xleta.TEXT,230))</definedName>
    <definedName name="______num2">IF(ISERROR(FIND(")+",text_1,230)),LEN(text_1),FIND(")+",text_1,230))</definedName>
    <definedName name="______num3">IF(ISERROR(FIND(")+",text_2,230)),LEN(text_2),FIND(")+",text_2,230))</definedName>
    <definedName name="_____num031">IF(ISERROR(FIND(")+",Text03,230)),LEN(Text03),FIND(")+",Text03,230))</definedName>
    <definedName name="_____num032">IF(ISERROR(FIND(")+",text03_1,230)),LEN(text03_1),FIND(")+",text03_1,230))</definedName>
    <definedName name="_____NUM0321">IF(ISERROR(FIND(")+",text03_1,230)),LEN(text03_1),FIND(")+",text03_1,230))</definedName>
    <definedName name="_____num033">IF(ISERROR(FIND(")+",text03_2,230)),LEN(text03_2),FIND(")+",text03_2,230))</definedName>
    <definedName name="_____num1">IF(ISERROR(FIND(")+",_xleta.TEXT,230)),LEN(_xleta.TEXT),FIND(")+",_xleta.TEXT,230))</definedName>
    <definedName name="_____num2">IF(ISERROR(FIND(")+",text_1,230)),LEN(text_1),FIND(")+",text_1,230))</definedName>
    <definedName name="_____num3">IF(ISERROR(FIND(")+",text_2,230)),LEN(text_2),FIND(")+",text_2,230))</definedName>
    <definedName name="____num031">IF(ISERROR(FIND(")+",Text03,230)),LEN(Text03),FIND(")+",Text03,230))</definedName>
    <definedName name="____num032">IF(ISERROR(FIND(")+",text03_1,230)),LEN(text03_1),FIND(")+",text03_1,230))</definedName>
    <definedName name="____NUM0321">IF(ISERROR(FIND(")+",text03_1,230)),LEN(text03_1),FIND(")+",text03_1,230))</definedName>
    <definedName name="____num033">IF(ISERROR(FIND(")+",text03_2,230)),LEN(text03_2),FIND(")+",text03_2,230))</definedName>
    <definedName name="____num1">IF(ISERROR(FIND(")+",_xleta.TEXT,230)),LEN(_xleta.TEXT),FIND(")+",_xleta.TEXT,230))</definedName>
    <definedName name="____num2">IF(ISERROR(FIND(")+",text_1,230)),LEN(text_1),FIND(")+",text_1,230))</definedName>
    <definedName name="____num3">IF(ISERROR(FIND(")+",text_2,230)),LEN(text_2),FIND(")+",text_2,230))</definedName>
    <definedName name="___BTG1">#REF!</definedName>
    <definedName name="___BTG2">#REF!</definedName>
    <definedName name="___BYC0721">[2]报价细目表!$M$228</definedName>
    <definedName name="___BYC0723">[2]报价细目表!$M$227</definedName>
    <definedName name="___BYC1121">[2]报价细目表!$M$224</definedName>
    <definedName name="___BYC1320">[2]报价细目表!$M$223</definedName>
    <definedName name="___BYC1323">[2]报价细目表!$M$222</definedName>
    <definedName name="___BYC1420">[2]报价细目表!$M$220</definedName>
    <definedName name="___BYC1421">[2]报价细目表!$M$219</definedName>
    <definedName name="___BYC1423">[2]报价细目表!$M$218</definedName>
    <definedName name="___BYC1621">[2]报价细目表!$M$216</definedName>
    <definedName name="___BYC1653">[2]报价细目表!$M$214</definedName>
    <definedName name="___BYC1820">[2]报价细目表!$M$210</definedName>
    <definedName name="___BYC1823">[2]报价细目表!$M$209</definedName>
    <definedName name="___BYC1853">[2]报价细目表!$M$208</definedName>
    <definedName name="___BYC1920">[2]报价细目表!$M$207</definedName>
    <definedName name="___BYC1923">[2]报价细目表!$M$206</definedName>
    <definedName name="___BYC1953">[2]报价细目表!$M$205</definedName>
    <definedName name="___BYC2123">[2]报价细目表!$M$201</definedName>
    <definedName name="___LC0720">[2]报价细目表!$M$121</definedName>
    <definedName name="___LC0723">[2]报价细目表!$M$119</definedName>
    <definedName name="___LC0820">[2]报价细目表!$M$118</definedName>
    <definedName name="___LC0821">[2]报价细目表!$M$117</definedName>
    <definedName name="___LC0823">[2]报价细目表!$M$115</definedName>
    <definedName name="___LC0826">[2]报价细目表!$M$114</definedName>
    <definedName name="___LC0836">[2]报价细目表!$M$113</definedName>
    <definedName name="___LC0926">[2]报价细目表!$M$127</definedName>
    <definedName name="___LC0936">[2]报价细目表!$M$126</definedName>
    <definedName name="___LC1020">[2]报价细目表!$M$107</definedName>
    <definedName name="___LC1021">[2]报价细目表!$M$106</definedName>
    <definedName name="___LC1023">[2]报价细目表!$M$105</definedName>
    <definedName name="___LC1025">[2]报价细目表!$M$125</definedName>
    <definedName name="___LC1336">[2]报价细目表!$M$99</definedName>
    <definedName name="___LC1420">[2]报价细目表!$M$97</definedName>
    <definedName name="___LC1421">[2]报价细目表!$M$96</definedName>
    <definedName name="___LC1423">[2]报价细目表!$M$95</definedName>
    <definedName name="___LC1436">[2]报价细目表!$M$94</definedName>
    <definedName name="___LC1520">[2]报价细目表!$M$93</definedName>
    <definedName name="___LC1523">[2]报价细目表!$M$92</definedName>
    <definedName name="___LC1620">[2]报价细目表!$M$85</definedName>
    <definedName name="___LC1621">[2]报价细目表!$M$83</definedName>
    <definedName name="___LC1623">[2]报价细目表!$M$82</definedName>
    <definedName name="___LC1636">[2]报价细目表!$M$78</definedName>
    <definedName name="___LC1653">[2]报价细目表!$M$75</definedName>
    <definedName name="___LC1820">[2]报价细目表!$M$74</definedName>
    <definedName name="___LC1821">[2]报价细目表!$M$72</definedName>
    <definedName name="___LC1823">[2]报价细目表!$M$71</definedName>
    <definedName name="___LC1836">[2]报价细目表!$M$69</definedName>
    <definedName name="___LC1920">[2]报价细目表!$M$65</definedName>
    <definedName name="___LC1923">[2]报价细目表!$M$64</definedName>
    <definedName name="___LC1953">[2]报价细目表!$M$63</definedName>
    <definedName name="___LC2120">[2]报价细目表!$M$62</definedName>
    <definedName name="___LC2121">[2]报价细目表!$M$61</definedName>
    <definedName name="___LC2123">[2]报价细目表!$M$60</definedName>
    <definedName name="___LC2220">[2]报价细目表!$M$59</definedName>
    <definedName name="___LC2221">[2]报价细目表!$M$57</definedName>
    <definedName name="___LC2223">[2]报价细目表!$M$55</definedName>
    <definedName name="___LC2236">[2]报价细目表!$M$53</definedName>
    <definedName name="___LC2420">[2]报价细目表!$M$50</definedName>
    <definedName name="___LC2423">[2]报价细目表!$M$46</definedName>
    <definedName name="___LC2453">[2]报价细目表!$M$44</definedName>
    <definedName name="___LC2753">[2]报价细目表!$M$41</definedName>
    <definedName name="___LC2820">[2]报价细目表!$M$40</definedName>
    <definedName name="___LC2823">[2]报价细目表!$M$39</definedName>
    <definedName name="___LC3020">[2]报价细目表!$M$33</definedName>
    <definedName name="___LC3023">[2]报价细目表!$M$32</definedName>
    <definedName name="___LC3220">[2]报价细目表!$M$31</definedName>
    <definedName name="___LC3223">[2]报价细目表!$M$30</definedName>
    <definedName name="___LC3253">[2]报价细目表!$M$29</definedName>
    <definedName name="___LM0825">[2]报价细目表!$M$190</definedName>
    <definedName name="___LM1025">[2]报价细目表!$M$188</definedName>
    <definedName name="___LM1136">[2]报价细目表!$M$185</definedName>
    <definedName name="___LM1336">[2]报价细目表!$M$181</definedName>
    <definedName name="___LM1523">[2]报价细目表!$M$177</definedName>
    <definedName name="___LM1525">[2]报价细目表!$M$176</definedName>
    <definedName name="___LM1536">[2]报价细目表!$M$175</definedName>
    <definedName name="___LM1636">[2]报价细目表!$M$168</definedName>
    <definedName name="___LM2753">[2]报价细目表!$M$165</definedName>
    <definedName name="___LMC4553">[2]报价细目表!$M$122</definedName>
    <definedName name="___num031">IF(ISERROR(FIND(")+",Text03,230)),LEN(Text03),FIND(")+",Text03,230))</definedName>
    <definedName name="___num032">IF(ISERROR(FIND(")+",text03_1,230)),LEN(text03_1),FIND(")+",text03_1,230))</definedName>
    <definedName name="___NUM0321">IF(ISERROR(FIND(")+",text03_1,230)),LEN(text03_1),FIND(")+",text03_1,230))</definedName>
    <definedName name="___num033">IF(ISERROR(FIND(")+",text03_2,230)),LEN(text03_2),FIND(")+",text03_2,230))</definedName>
    <definedName name="___num1">IF(ISERROR(FIND(")+",_xleta.TEXT,230)),LEN(_xleta.TEXT),FIND(")+",_xleta.TEXT,230))</definedName>
    <definedName name="___num2">IF(ISERROR(FIND(")+",text_1,230)),LEN(text_1),FIND(")+",text_1,230))</definedName>
    <definedName name="___num3">IF(ISERROR(FIND(")+",text_2,230)),LEN(text_2),FIND(")+",text_2,230))</definedName>
    <definedName name="___TLC1114">[2]报价细目表!$M$162</definedName>
    <definedName name="___TLM1725">[2]报价细目表!$M$158</definedName>
    <definedName name="___TLM1825">[2]报价细目表!$M$157</definedName>
    <definedName name="___TLM2125">[2]报价细目表!$M$155</definedName>
    <definedName name="___TLM2136">[2]报价细目表!$M$154</definedName>
    <definedName name="___TLM2425">[2]报价细目表!$M$152</definedName>
    <definedName name="___TLM2725">[2]报价细目表!$M$150</definedName>
    <definedName name="___TLM2825">[2]报价细目表!$M$149</definedName>
    <definedName name="___TLM3025">[2]报价细目表!$M$146</definedName>
    <definedName name="___TLM3236">[2]报价细目表!$M$141</definedName>
    <definedName name="___TLM3725">[2]报价细目表!$M$137</definedName>
    <definedName name="___TLM4425">[2]报价细目表!$M$136</definedName>
    <definedName name="___TTG1">[3]before!$C$3:$E$22</definedName>
    <definedName name="___TTG2">[3]before!$A$3:$J$22</definedName>
    <definedName name="__BTG1">#REF!</definedName>
    <definedName name="__BTG2">#REF!</definedName>
    <definedName name="__BYC0721">[2]报价细目表!$M$228</definedName>
    <definedName name="__BYC0723">[2]报价细目表!$M$227</definedName>
    <definedName name="__BYC1121">[2]报价细目表!$M$224</definedName>
    <definedName name="__BYC1320">[2]报价细目表!$M$223</definedName>
    <definedName name="__BYC1323">[2]报价细目表!$M$222</definedName>
    <definedName name="__BYC1420">[2]报价细目表!$M$220</definedName>
    <definedName name="__BYC1421">[2]报价细目表!$M$219</definedName>
    <definedName name="__BYC1423">[2]报价细目表!$M$218</definedName>
    <definedName name="__BYC1621">[2]报价细目表!$M$216</definedName>
    <definedName name="__BYC1653">[2]报价细目表!$M$214</definedName>
    <definedName name="__BYC1820">[2]报价细目表!$M$210</definedName>
    <definedName name="__BYC1823">[2]报价细目表!$M$209</definedName>
    <definedName name="__BYC1853">[2]报价细目表!$M$208</definedName>
    <definedName name="__BYC1920">[2]报价细目表!$M$207</definedName>
    <definedName name="__BYC1923">[2]报价细目表!$M$206</definedName>
    <definedName name="__BYC1953">[2]报价细目表!$M$205</definedName>
    <definedName name="__BYC2123">[2]报价细目表!$M$201</definedName>
    <definedName name="__LC0720">[2]报价细目表!$M$121</definedName>
    <definedName name="__LC0723">[2]报价细目表!$M$119</definedName>
    <definedName name="__LC0820">[2]报价细目表!$M$118</definedName>
    <definedName name="__LC0821">[2]报价细目表!$M$117</definedName>
    <definedName name="__LC0823">[2]报价细目表!$M$115</definedName>
    <definedName name="__LC0826">[2]报价细目表!$M$114</definedName>
    <definedName name="__LC0836">[2]报价细目表!$M$113</definedName>
    <definedName name="__LC0926">[2]报价细目表!$M$127</definedName>
    <definedName name="__LC0936">[2]报价细目表!$M$126</definedName>
    <definedName name="__LC1020">[2]报价细目表!$M$107</definedName>
    <definedName name="__LC1021">[2]报价细目表!$M$106</definedName>
    <definedName name="__LC1023">[2]报价细目表!$M$105</definedName>
    <definedName name="__LC1025">[2]报价细目表!$M$125</definedName>
    <definedName name="__LC1336">[2]报价细目表!$M$99</definedName>
    <definedName name="__LC1420">[2]报价细目表!$M$97</definedName>
    <definedName name="__LC1421">[2]报价细目表!$M$96</definedName>
    <definedName name="__LC1423">[2]报价细目表!$M$95</definedName>
    <definedName name="__LC1436">[2]报价细目表!$M$94</definedName>
    <definedName name="__LC1520">[2]报价细目表!$M$93</definedName>
    <definedName name="__LC1523">[2]报价细目表!$M$92</definedName>
    <definedName name="__LC1620">[2]报价细目表!$M$85</definedName>
    <definedName name="__LC1621">[2]报价细目表!$M$83</definedName>
    <definedName name="__LC1623">[2]报价细目表!$M$82</definedName>
    <definedName name="__LC1636">[2]报价细目表!$M$78</definedName>
    <definedName name="__LC1653">[2]报价细目表!$M$75</definedName>
    <definedName name="__LC1820">[2]报价细目表!$M$74</definedName>
    <definedName name="__LC1821">[2]报价细目表!$M$72</definedName>
    <definedName name="__LC1823">[2]报价细目表!$M$71</definedName>
    <definedName name="__LC1836">[2]报价细目表!$M$69</definedName>
    <definedName name="__LC1920">[2]报价细目表!$M$65</definedName>
    <definedName name="__LC1923">[2]报价细目表!$M$64</definedName>
    <definedName name="__LC1953">[2]报价细目表!$M$63</definedName>
    <definedName name="__LC2120">[2]报价细目表!$M$62</definedName>
    <definedName name="__LC2121">[2]报价细目表!$M$61</definedName>
    <definedName name="__LC2123">[2]报价细目表!$M$60</definedName>
    <definedName name="__LC2220">[2]报价细目表!$M$59</definedName>
    <definedName name="__LC2221">[2]报价细目表!$M$57</definedName>
    <definedName name="__LC2223">[2]报价细目表!$M$55</definedName>
    <definedName name="__LC2236">[2]报价细目表!$M$53</definedName>
    <definedName name="__LC2420">[2]报价细目表!$M$50</definedName>
    <definedName name="__LC2423">[2]报价细目表!$M$46</definedName>
    <definedName name="__LC2453">[2]报价细目表!$M$44</definedName>
    <definedName name="__LC2753">[2]报价细目表!$M$41</definedName>
    <definedName name="__LC2820">[2]报价细目表!$M$40</definedName>
    <definedName name="__LC2823">[2]报价细目表!$M$39</definedName>
    <definedName name="__LC3020">[2]报价细目表!$M$33</definedName>
    <definedName name="__LC3023">[2]报价细目表!$M$32</definedName>
    <definedName name="__LC3220">[2]报价细目表!$M$31</definedName>
    <definedName name="__LC3223">[2]报价细目表!$M$30</definedName>
    <definedName name="__LC3253">[2]报价细目表!$M$29</definedName>
    <definedName name="__LM0825">[2]报价细目表!$M$190</definedName>
    <definedName name="__LM1025">[2]报价细目表!$M$188</definedName>
    <definedName name="__LM1136">[2]报价细目表!$M$185</definedName>
    <definedName name="__LM1336">[2]报价细目表!$M$181</definedName>
    <definedName name="__LM1523">[2]报价细目表!$M$177</definedName>
    <definedName name="__LM1525">[2]报价细目表!$M$176</definedName>
    <definedName name="__LM1536">[2]报价细目表!$M$175</definedName>
    <definedName name="__LM1636">[2]报价细目表!$M$168</definedName>
    <definedName name="__LM2753">[2]报价细目表!$M$165</definedName>
    <definedName name="__LMC4553">[2]报价细目表!$M$122</definedName>
    <definedName name="__num031">IF(ISERROR(FIND(")+",Text03,230)),LEN(Text03),FIND(")+",Text03,230))</definedName>
    <definedName name="__num032">IF(ISERROR(FIND(")+",text03_1,230)),LEN(text03_1),FIND(")+",text03_1,230))</definedName>
    <definedName name="__NUM0321">IF(ISERROR(FIND(")+",text03_1,230)),LEN(text03_1),FIND(")+",text03_1,230))</definedName>
    <definedName name="__num033">IF(ISERROR(FIND(")+",text03_2,230)),LEN(text03_2),FIND(")+",text03_2,230))</definedName>
    <definedName name="__num1">IF(ISERROR(FIND(")+",_xleta.TEXT,230)),LEN(_xleta.TEXT),FIND(")+",_xleta.TEXT,230))</definedName>
    <definedName name="__num2">IF(ISERROR(FIND(")+",text_1,230)),LEN(text_1),FIND(")+",text_1,230))</definedName>
    <definedName name="__num3">IF(ISERROR(FIND(")+",text_2,230)),LEN(text_2),FIND(")+",text_2,230))</definedName>
    <definedName name="__TLC1114">[2]报价细目表!$M$162</definedName>
    <definedName name="__TLM1725">[2]报价细目表!$M$158</definedName>
    <definedName name="__TLM1825">[2]报价细目表!$M$157</definedName>
    <definedName name="__TLM2125">[2]报价细目表!$M$155</definedName>
    <definedName name="__TLM2136">[2]报价细目表!$M$154</definedName>
    <definedName name="__TLM2425">[2]报价细目表!$M$152</definedName>
    <definedName name="__TLM2725">[2]报价细目表!$M$150</definedName>
    <definedName name="__TLM2825">[2]报价细目表!$M$149</definedName>
    <definedName name="__TLM3025">[2]报价细目表!$M$146</definedName>
    <definedName name="__TLM3236">[2]报价细目表!$M$141</definedName>
    <definedName name="__TLM3725">[2]报价细目表!$M$137</definedName>
    <definedName name="__TLM4425">[2]报价细目表!$M$136</definedName>
    <definedName name="__TTG1">[3]before!$C$3:$E$22</definedName>
    <definedName name="__TTG2">[3]before!$A$3:$J$22</definedName>
    <definedName name="_4_4.2_0.1_3.8_4__0.6_0.14">[4]土方!#REF!</definedName>
    <definedName name="_azf1">#REF!</definedName>
    <definedName name="_azf2">#REF!</definedName>
    <definedName name="_azf3">#REF!</definedName>
    <definedName name="_BTG1">#REF!</definedName>
    <definedName name="_BTG2">#REF!</definedName>
    <definedName name="_BYC0721">[2]报价细目表!$M$228</definedName>
    <definedName name="_BYC0723">[2]报价细目表!$M$227</definedName>
    <definedName name="_BYC1121">[2]报价细目表!$M$224</definedName>
    <definedName name="_BYC1320">[2]报价细目表!$M$223</definedName>
    <definedName name="_BYC1323">[2]报价细目表!$M$222</definedName>
    <definedName name="_BYC1420">[2]报价细目表!$M$220</definedName>
    <definedName name="_BYC1421">[2]报价细目表!$M$219</definedName>
    <definedName name="_BYC1423">[2]报价细目表!$M$218</definedName>
    <definedName name="_BYC1621">[2]报价细目表!$M$216</definedName>
    <definedName name="_BYC1653">[2]报价细目表!$M$214</definedName>
    <definedName name="_BYC1820">[2]报价细目表!$M$210</definedName>
    <definedName name="_BYC1823">[2]报价细目表!$M$209</definedName>
    <definedName name="_BYC1853">[2]报价细目表!$M$208</definedName>
    <definedName name="_BYC1920">[2]报价细目表!$M$207</definedName>
    <definedName name="_BYC1923">[2]报价细目表!$M$206</definedName>
    <definedName name="_BYC1953">[2]报价细目表!$M$205</definedName>
    <definedName name="_BYC2123">[2]报价细目表!$M$201</definedName>
    <definedName name="_Fill" hidden="1">#REF!</definedName>
    <definedName name="_xlnm._FilterDatabase" hidden="1">#REF!</definedName>
    <definedName name="_gzf1">#REF!</definedName>
    <definedName name="_gzf2">#REF!</definedName>
    <definedName name="_gzf3">#REF!</definedName>
    <definedName name="_jc4">#REF!</definedName>
    <definedName name="_jxf1">#REF!</definedName>
    <definedName name="_LC0720">[2]报价细目表!$M$121</definedName>
    <definedName name="_LC0723">[2]报价细目表!$M$119</definedName>
    <definedName name="_LC0820">[2]报价细目表!$M$118</definedName>
    <definedName name="_LC0821">[2]报价细目表!$M$117</definedName>
    <definedName name="_LC0823">[2]报价细目表!$M$115</definedName>
    <definedName name="_LC0826">[2]报价细目表!$M$114</definedName>
    <definedName name="_LC0836">[2]报价细目表!$M$113</definedName>
    <definedName name="_LC0926">[2]报价细目表!$M$127</definedName>
    <definedName name="_LC0936">[2]报价细目表!$M$126</definedName>
    <definedName name="_LC1020">[2]报价细目表!$M$107</definedName>
    <definedName name="_LC1021">[2]报价细目表!$M$106</definedName>
    <definedName name="_LC1023">[2]报价细目表!$M$105</definedName>
    <definedName name="_LC1025">[2]报价细目表!$M$125</definedName>
    <definedName name="_LC1336">[2]报价细目表!$M$99</definedName>
    <definedName name="_LC1420">[2]报价细目表!$M$97</definedName>
    <definedName name="_LC1421">[2]报价细目表!$M$96</definedName>
    <definedName name="_LC1423">[2]报价细目表!$M$95</definedName>
    <definedName name="_LC1436">[2]报价细目表!$M$94</definedName>
    <definedName name="_LC1520">[2]报价细目表!$M$93</definedName>
    <definedName name="_LC1523">[2]报价细目表!$M$92</definedName>
    <definedName name="_LC1620">[2]报价细目表!$M$85</definedName>
    <definedName name="_LC1621">[2]报价细目表!$M$83</definedName>
    <definedName name="_LC1623">[2]报价细目表!$M$82</definedName>
    <definedName name="_LC1636">[2]报价细目表!$M$78</definedName>
    <definedName name="_LC1653">[2]报价细目表!$M$75</definedName>
    <definedName name="_LC1820">[2]报价细目表!$M$74</definedName>
    <definedName name="_LC1821">[2]报价细目表!$M$72</definedName>
    <definedName name="_LC1823">[2]报价细目表!$M$71</definedName>
    <definedName name="_LC1836">[2]报价细目表!$M$69</definedName>
    <definedName name="_LC1920">[2]报价细目表!$M$65</definedName>
    <definedName name="_LC1923">[2]报价细目表!$M$64</definedName>
    <definedName name="_LC1953">[2]报价细目表!$M$63</definedName>
    <definedName name="_LC2120">[2]报价细目表!$M$62</definedName>
    <definedName name="_LC2121">[2]报价细目表!$M$61</definedName>
    <definedName name="_LC2123">[2]报价细目表!$M$60</definedName>
    <definedName name="_LC2220">[2]报价细目表!$M$59</definedName>
    <definedName name="_LC2221">[2]报价细目表!$M$57</definedName>
    <definedName name="_LC2223">[2]报价细目表!$M$55</definedName>
    <definedName name="_LC2236">[2]报价细目表!$M$53</definedName>
    <definedName name="_LC2420">[2]报价细目表!$M$50</definedName>
    <definedName name="_LC2423">[2]报价细目表!$M$46</definedName>
    <definedName name="_LC2453">[2]报价细目表!$M$44</definedName>
    <definedName name="_LC2753">[2]报价细目表!$M$41</definedName>
    <definedName name="_LC2820">[2]报价细目表!$M$40</definedName>
    <definedName name="_LC2823">[2]报价细目表!$M$39</definedName>
    <definedName name="_LC3020">[2]报价细目表!$M$33</definedName>
    <definedName name="_LC3023">[2]报价细目表!$M$32</definedName>
    <definedName name="_LC3220">[2]报价细目表!$M$31</definedName>
    <definedName name="_LC3223">[2]报价细目表!$M$30</definedName>
    <definedName name="_LC3253">[2]报价细目表!$M$29</definedName>
    <definedName name="_LM0825">[2]报价细目表!$M$190</definedName>
    <definedName name="_LM1025">[2]报价细目表!$M$188</definedName>
    <definedName name="_LM1136">[2]报价细目表!$M$185</definedName>
    <definedName name="_LM1336">[2]报价细目表!$M$181</definedName>
    <definedName name="_LM1523">[2]报价细目表!$M$177</definedName>
    <definedName name="_LM1525">[2]报价细目表!$M$176</definedName>
    <definedName name="_LM1536">[2]报价细目表!$M$175</definedName>
    <definedName name="_LM1636">[2]报价细目表!$M$168</definedName>
    <definedName name="_LM2753">[2]报价细目表!$M$165</definedName>
    <definedName name="_LMC4553">[2]报价细目表!$M$122</definedName>
    <definedName name="_num031">IF(ISERROR(FIND(")+",Text03,230)),LEN(Text03),FIND(")+",Text03,230))</definedName>
    <definedName name="_num032">IF(ISERROR(FIND(")+",text03_1,230)),LEN(text03_1),FIND(")+",text03_1,230))</definedName>
    <definedName name="_NUM0321">IF(ISERROR(FIND(")+",text03_1,230)),LEN(text03_1),FIND(")+",text03_1,230))</definedName>
    <definedName name="_num033">IF(ISERROR(FIND(")+",text03_2,230)),LEN(text03_2),FIND(")+",text03_2,230))</definedName>
    <definedName name="_num1">IF(ISERROR(FIND(")+",_xleta.TEXT,230)),LEN(_xleta.TEXT),FIND(")+",_xleta.TEXT,230))</definedName>
    <definedName name="_num2">IF(ISERROR(FIND(")+",text_1,230)),LEN(text_1),FIND(")+",text_1,230))</definedName>
    <definedName name="_num3">IF(ISERROR(FIND(")+",text_2,230)),LEN(text_2),FIND(")+",text_2,230))</definedName>
    <definedName name="_TLC1114">[2]报价细目表!$M$162</definedName>
    <definedName name="_TLM1725">[2]报价细目表!$M$158</definedName>
    <definedName name="_TLM1825">[2]报价细目表!$M$157</definedName>
    <definedName name="_TLM2125">[2]报价细目表!$M$155</definedName>
    <definedName name="_TLM2136">[2]报价细目表!$M$154</definedName>
    <definedName name="_TLM2425">[2]报价细目表!$M$152</definedName>
    <definedName name="_TLM2725">[2]报价细目表!$M$150</definedName>
    <definedName name="_TLM2825">[2]报价细目表!$M$149</definedName>
    <definedName name="_TLM3025">[2]报价细目表!$M$146</definedName>
    <definedName name="_TLM3236">[2]报价细目表!$M$141</definedName>
    <definedName name="_TLM3725">[2]报价细目表!$M$137</definedName>
    <definedName name="_TLM4425">[2]报价细目表!$M$136</definedName>
    <definedName name="_tt1">#REF!</definedName>
    <definedName name="_tt7">#REF!</definedName>
    <definedName name="_TTG1">[3]before!$C$3:$E$22</definedName>
    <definedName name="_TTG2">[3]before!$A$3:$J$22</definedName>
    <definedName name="A">#REF!,#REF!,#REF!,#REF!,#REF!,#REF!,#REF!,#REF!,#REF!,#REF!,#REF!,#REF!,#REF!,#REF!,#REF!,#REF!,#REF!,#REF!,#REF!,#REF!,#REF!,#REF!,#REF!,#REF!,#REF!,#REF!,#REF!,#REF!,#REF!,#REF!,#REF!,#REF!,#REF!,#REF!,#REF!,#REF!,#REF!,#REF!,#REF!,#REF!,#REF!,#REF!,#REF!,#REF!,#REF!,#REF!,#REF!,#REF!,#REF!,#REF!,#REF!,#REF!,#REF!,#REF!,#REF!,#REF!,#REF!,#REF!,#REF!,#REF!</definedName>
    <definedName name="aaa">#REF!</definedName>
    <definedName name="AAAAA">#REF!</definedName>
    <definedName name="aaff">#REF!</definedName>
    <definedName name="AAUSGZ">[5]Sheet1!#REF!</definedName>
    <definedName name="ab">#REF!</definedName>
    <definedName name="abc">#REF!</definedName>
    <definedName name="ACARGZ1">[5]Sheet1!#REF!</definedName>
    <definedName name="ACARGZ2">[5]Sheet1!#REF!</definedName>
    <definedName name="ACROSSGZ">[5]Sheet1!#REF!</definedName>
    <definedName name="addresses">#REF!</definedName>
    <definedName name="ads" hidden="1">{#N/A,#N/A,FALSE,"Aging Summary";#N/A,#N/A,FALSE,"Ratio Analysis";#N/A,#N/A,FALSE,"Test 120 Day Accts";#N/A,#N/A,FALSE,"Tickmarks"}</definedName>
    <definedName name="AEAFGZ">[5]Sheet1!#REF!</definedName>
    <definedName name="AESAGZ">[5]Sheet1!#REF!</definedName>
    <definedName name="AEURGZ">[5]Sheet1!#REF!</definedName>
    <definedName name="afaaf">#REF!</definedName>
    <definedName name="afafd">#REF!</definedName>
    <definedName name="AGKXGZ">[5]Sheet1!#REF!</definedName>
    <definedName name="AIATGZ">[5]Sheet1!#REF!</definedName>
    <definedName name="ALLPROJ">#REF!</definedName>
    <definedName name="AMEDGZ">[5]Sheet1!#REF!</definedName>
    <definedName name="ANWCGZ">[5]Sheet1!#REF!</definedName>
    <definedName name="ANZPGZ">[5]Sheet1!#REF!</definedName>
    <definedName name="APATGZ">[5]Sheet1!#REF!</definedName>
    <definedName name="AREDGZ">[5]Sheet1!#REF!</definedName>
    <definedName name="AS2DocOpenMode" hidden="1">"AS2DocumentEdit"</definedName>
    <definedName name="AS2NamedRange" hidden="1">15</definedName>
    <definedName name="AS2ReportLS" hidden="1">2</definedName>
    <definedName name="AS2SyncStepLS" hidden="1">3</definedName>
    <definedName name="AS2VersionLS" hidden="1">220</definedName>
    <definedName name="ASAFGZ1">[5]Sheet1!#REF!</definedName>
    <definedName name="ASAFGZ2">[5]Sheet1!#REF!</definedName>
    <definedName name="ASASGZ">[5]Sheet1!#REF!</definedName>
    <definedName name="asdflkjasd" hidden="1">{#N/A,#N/A,FALSE,"Aging Summary";#N/A,#N/A,FALSE,"Ratio Analysis";#N/A,#N/A,FALSE,"Test 120 Day Accts";#N/A,#N/A,FALSE,"Tickmarks"}</definedName>
    <definedName name="AWAF2">[5]Sheet1!#REF!</definedName>
    <definedName name="AWAFGZ1">[5]Sheet1!#REF!</definedName>
    <definedName name="AWAFGZ2">[5]Sheet1!#REF!</definedName>
    <definedName name="AWSAGZ">[5]Sheet1!#REF!</definedName>
    <definedName name="bbbbb">#REF!</definedName>
    <definedName name="bbvnv">#REF!</definedName>
    <definedName name="bc">#REF!</definedName>
    <definedName name="BTG">#REF!</definedName>
    <definedName name="btgcf">#REF!</definedName>
    <definedName name="bvcxb">#REF!</definedName>
    <definedName name="bvmbv">#REF!</definedName>
    <definedName name="bzbzf">#REF!</definedName>
    <definedName name="cc">#REF!</definedName>
    <definedName name="Certified">'[6]Project Charter'!$R$64:$R$68</definedName>
    <definedName name="ch">#REF!</definedName>
    <definedName name="changyong">#REF!</definedName>
    <definedName name="Contract_VSA">#REF!</definedName>
    <definedName name="cvvvvxn">#REF!</definedName>
    <definedName name="cxzv">[7]封!#REF!</definedName>
    <definedName name="czvvd">[8]送电装材统计!#REF!</definedName>
    <definedName name="d">#REF!</definedName>
    <definedName name="danwei">#REF!</definedName>
    <definedName name="data1">[9]模板参数!$A$1:$A$6</definedName>
    <definedName name="dataArea">#REF!</definedName>
    <definedName name="dbTitle_BudgetStyle">#REF!</definedName>
    <definedName name="dbTitle_builder">#REF!</definedName>
    <definedName name="dbTitle_projectname">#REF!</definedName>
    <definedName name="DEB">#REF!</definedName>
    <definedName name="dfa">#REF!</definedName>
    <definedName name="dw">#REF!</definedName>
    <definedName name="DWMC">[10]帮助!$L$3:$L$131</definedName>
    <definedName name="dww">#REF!</definedName>
    <definedName name="e">INDEX([11]工程量计算!$F$1:$F$65536,MATCH("E",[11]工程量计算!$D$1:$D$65536,0))</definedName>
    <definedName name="eee">#REF!</definedName>
    <definedName name="eeee">#REF!</definedName>
    <definedName name="F">INDEX([11]工程量计算!$F$1:$F$65536,MATCH("F",[11]工程量计算!$D$1:$D$65536,0))</definedName>
    <definedName name="fafaf">#REF!</definedName>
    <definedName name="FBFXMC03">#REF!</definedName>
    <definedName name="FBFXMC94">#REF!</definedName>
    <definedName name="fdghg">#REF!,#REF!,#REF!,#REF!,#REF!,#REF!,#REF!,#REF!,#REF!,#REF!,#REF!,#REF!,#REF!,#REF!</definedName>
    <definedName name="fdgs">#REF!</definedName>
    <definedName name="ff">[12]送电装材统计!#REF!</definedName>
    <definedName name="fff">#REF!</definedName>
    <definedName name="ffff">#REF!</definedName>
    <definedName name="fg">SUBSTITUTE(text_1,text2,"")</definedName>
    <definedName name="fgg">SUBSTITUTE(text_1,text2,"")</definedName>
    <definedName name="fghdg">#REF!</definedName>
    <definedName name="flh">#REF!</definedName>
    <definedName name="Friday">#REF!</definedName>
    <definedName name="FTE">'[13]International ROM Budget'!$H$90</definedName>
    <definedName name="fzbfx">[7]封!#REF!</definedName>
    <definedName name="G">INDEX([11]工程量计算!$F$1:$F$65536,MATCH("G",[11]工程量计算!$D$1:$D$65536,0))</definedName>
    <definedName name="gaagfd">#REF!</definedName>
    <definedName name="gfhgfh">#REF!</definedName>
    <definedName name="ggda">#REF!</definedName>
    <definedName name="HAI">#REF!</definedName>
    <definedName name="haoi">'[14]3'!$B$6:$G$9</definedName>
    <definedName name="Hello">#REF!</definedName>
    <definedName name="Invoice_CO">#REF!</definedName>
    <definedName name="IV">#REF!</definedName>
    <definedName name="J">#REF!</definedName>
    <definedName name="khg">#REF!</definedName>
    <definedName name="L">[15]总价!$C$2</definedName>
    <definedName name="lap">#REF!</definedName>
    <definedName name="LC1620A">[2]报价细目表!$M$84</definedName>
    <definedName name="LC1623A">[2]报价细目表!$M$81</definedName>
    <definedName name="LC2420A">[2]报价细目表!$M$49</definedName>
    <definedName name="LC2421A">[2]报价细目表!$M$47</definedName>
    <definedName name="LC2423A">[2]报价细目表!$M$45</definedName>
    <definedName name="list1">#REF!</definedName>
    <definedName name="list2">#REF!</definedName>
    <definedName name="LTRU">#REF!</definedName>
    <definedName name="MakeIt">#REF!</definedName>
    <definedName name="Master">#REF!</definedName>
    <definedName name="mc">OFFSET([11]工程量计算!$B$3,1,,COUNTA([11]工程量计算!$B$1:$B$65536)-1,)</definedName>
    <definedName name="mhghg">#REF!,#REF!,#REF!,#REF!,#REF!,#REF!,#REF!,#REF!,#REF!,#REF!,#REF!,#REF!,#REF!</definedName>
    <definedName name="Monday">'[16]Integration Space Activities'!#REF!</definedName>
    <definedName name="Morning">#REF!</definedName>
    <definedName name="nbc">#REF!</definedName>
    <definedName name="ncvnxb">#REF!</definedName>
    <definedName name="nvbnb">#REF!</definedName>
    <definedName name="Poppy">#REF!</definedName>
    <definedName name="_xlnm.Print_Area" localSheetId="0">Cover!$A$1:$F$17</definedName>
    <definedName name="_xlnm.Print_Area" localSheetId="11">'HYE-option'!$A$1:$BB$38</definedName>
    <definedName name="_xlnm.Print_Area" localSheetId="10">HYE新增项!$A$1:$BB$182</definedName>
    <definedName name="_xlnm.Print_Area" localSheetId="3">Introduction!$A$1:$B$33</definedName>
    <definedName name="_xlnm.Print_Area" localSheetId="4">'Rules of measurement'!$A$1:$D$488</definedName>
    <definedName name="_xlnm.Print_Area" localSheetId="7">'Vendor Quotation'!$A$3:$G$41</definedName>
    <definedName name="_xlnm.Print_Area" hidden="1">#REF!</definedName>
    <definedName name="Print_Area_MI">#REF!</definedName>
    <definedName name="print_tiltes">#REF!</definedName>
    <definedName name="_xlnm.Print_Titles" localSheetId="11">'HYE-option'!$1:$12</definedName>
    <definedName name="_xlnm.Print_Titles" localSheetId="10">HYE新增项!$1:$12</definedName>
    <definedName name="_xlnm.Print_Titles" localSheetId="3">Introduction!$1:$1</definedName>
    <definedName name="_xlnm.Print_Titles" localSheetId="4">'Rules of measurement'!$1:$1</definedName>
    <definedName name="Projlist">#REF!</definedName>
    <definedName name="ptint_titles">[17]汇总表!#REF!</definedName>
    <definedName name="QQ">'[18]110KV'!#REF!</definedName>
    <definedName name="qqq">#REF!</definedName>
    <definedName name="rehtrhtrhtr" hidden="1">{#N/A,#N/A,FALSE,"Aging Summary";#N/A,#N/A,FALSE,"Ratio Analysis";#N/A,#N/A,FALSE,"Test 120 Day Accts";#N/A,#N/A,FALSE,"Tickmarks"}</definedName>
    <definedName name="risklvl">#REF!</definedName>
    <definedName name="rngType">#REF!</definedName>
    <definedName name="rwr">#REF!</definedName>
    <definedName name="ryyey">#REF!</definedName>
    <definedName name="s_curve">#REF!</definedName>
    <definedName name="SAPBEXrevision" hidden="1">4</definedName>
    <definedName name="SAPBEXsysID" hidden="1">"BW1"</definedName>
    <definedName name="SAPBEXwbID" hidden="1">"8DZFG4M4NA6MVVGNLO7J4SRAY"</definedName>
    <definedName name="SF">'[13]International ROM Budget'!$H$91</definedName>
    <definedName name="sgfrfsgfrg" hidden="1">{#N/A,#N/A,FALSE,"Aging Summary";#N/A,#N/A,FALSE,"Ratio Analysis";#N/A,#N/A,FALSE,"Test 120 Day Accts";#N/A,#N/A,FALSE,"Tickmarks"}</definedName>
    <definedName name="sppp">#REF!</definedName>
    <definedName name="stages">[19]Instructions!$G$3:$G$9</definedName>
    <definedName name="TARLPI">#REF!</definedName>
    <definedName name="TARSPP">#REF!</definedName>
    <definedName name="TARSS1">#REF!</definedName>
    <definedName name="TaxTV">10%</definedName>
    <definedName name="TaxXL">5%</definedName>
    <definedName name="Text">SUBSTITUTE(SUBSTITUTE(SUBSTITUTE(#REF!,"[","+n("""),"]",""")")," ","")</definedName>
    <definedName name="text_1">SUBSTITUTE(Text,text1,"")</definedName>
    <definedName name="text_2">SUBSTITUTE(text_1,text2,"")</definedName>
    <definedName name="Text03">SUBSTITUTE(SUBSTITUTE(SUBSTITUTE(#REF!,"[","+n("""),"]",""")")," ","")</definedName>
    <definedName name="text03_1">SUBSTITUTE(Text03,text031,"")</definedName>
    <definedName name="text03_2">SUBSTITUTE(text03_1,text032,"")</definedName>
    <definedName name="text031">LEFT(Text03,_________________num031)</definedName>
    <definedName name="text032">LEFT(text_1,_________________num032)</definedName>
    <definedName name="text033">LEFT(text_2,_________________num033)</definedName>
    <definedName name="text1">LEFT(Text,_________________num1)</definedName>
    <definedName name="text2">LEFT(text03_1,_________________num2)</definedName>
    <definedName name="text3">LEFT(text_2,_________________num3)</definedName>
    <definedName name="TextRefCopyRangeCount" hidden="1">92</definedName>
    <definedName name="Thursday">#REF!</definedName>
    <definedName name="TRANS">#REF!</definedName>
    <definedName name="TRANS1">#REF!</definedName>
    <definedName name="traspp">#REF!</definedName>
    <definedName name="TTG">[3]before!$A$9:$E$22</definedName>
    <definedName name="TTGL">[3]before!$X$7:$Z$25</definedName>
    <definedName name="Tuesday">'[16]Integration Space Activities'!#REF!</definedName>
    <definedName name="tyht">#REF!</definedName>
    <definedName name="vbnbvn">#REF!</definedName>
    <definedName name="vbnbvnbv">#REF!</definedName>
    <definedName name="vcbbc">[7]封!#REF!</definedName>
    <definedName name="vnvcn">#REF!</definedName>
    <definedName name="vnvnx">#REF!</definedName>
    <definedName name="vvcxb">#REF!</definedName>
    <definedName name="W1_102800">#REF!</definedName>
    <definedName name="W1_200110">#REF!</definedName>
    <definedName name="W1_201000">#REF!</definedName>
    <definedName name="W1_201022">#REF!</definedName>
    <definedName name="W1_209680">#REF!</definedName>
    <definedName name="W1_210100">#REF!</definedName>
    <definedName name="W1_210440">#REF!</definedName>
    <definedName name="W1_211000">#REF!</definedName>
    <definedName name="W1_211200">#REF!</definedName>
    <definedName name="W1_305000">#REF!</definedName>
    <definedName name="W1_306000">#REF!</definedName>
    <definedName name="W1_BLANK1">#REF!</definedName>
    <definedName name="W1_BLANK2">#REF!</definedName>
    <definedName name="W1_CAP_TAX">#REF!</definedName>
    <definedName name="W1_CAPBUD">#REF!</definedName>
    <definedName name="W1_EXP_TAX">#REF!</definedName>
    <definedName name="W1_EXPBUD">#REF!</definedName>
    <definedName name="W1_FO">#REF!</definedName>
    <definedName name="W2_102800">#REF!</definedName>
    <definedName name="W2_200110">#REF!</definedName>
    <definedName name="W2_201000">#REF!</definedName>
    <definedName name="W2_201022">#REF!</definedName>
    <definedName name="W2_209680">#REF!</definedName>
    <definedName name="W2_210100.">#REF!</definedName>
    <definedName name="W2_210440">#REF!</definedName>
    <definedName name="W2_211000">#REF!</definedName>
    <definedName name="W2_211200">#REF!</definedName>
    <definedName name="W2_305000">#REF!</definedName>
    <definedName name="W2_306000">#REF!</definedName>
    <definedName name="W2_BLANK1">#REF!</definedName>
    <definedName name="W2_BLANK2">#REF!</definedName>
    <definedName name="W2_CAP_TAX">#REF!</definedName>
    <definedName name="W2_CAPBUD">#REF!</definedName>
    <definedName name="W2_EXP_TAX">#REF!</definedName>
    <definedName name="W2_EXPBUD">#REF!</definedName>
    <definedName name="W2_FO">#REF!</definedName>
    <definedName name="WAFALL2">[5]Sheet1!#REF!</definedName>
    <definedName name="WAFBUD2">[5]Sheet1!#REF!</definedName>
    <definedName name="WAFPRO2">[5]Sheet1!#REF!</definedName>
    <definedName name="WAs">#REF!</definedName>
    <definedName name="Wednesday">#REF!</definedName>
    <definedName name="WORLPI">#REF!</definedName>
    <definedName name="WORSPP">#REF!</definedName>
    <definedName name="wrn.Aging._.and._.Trend._.Analysis." hidden="1">{#N/A,#N/A,FALSE,"Aging Summary";#N/A,#N/A,FALSE,"Ratio Analysis";#N/A,#N/A,FALSE,"Test 120 Day Accts";#N/A,#N/A,FALSE,"Tickmarks"}</definedName>
    <definedName name="xbzs">#REF!</definedName>
    <definedName name="xcvnc">#REF!</definedName>
    <definedName name="xczvz">#REF!</definedName>
    <definedName name="XLRPARAMS_GCMC" hidden="1">[20]XLR_NoRangeSheet!$B$6</definedName>
    <definedName name="xm">[21]常用项目!$B$1:$B$65536</definedName>
    <definedName name="xmmc">#REF!</definedName>
    <definedName name="xnnbn">#REF!</definedName>
    <definedName name="xnvcn">#REF!</definedName>
    <definedName name="xvz">#REF!</definedName>
    <definedName name="xx">[22]单位库!$A$1:$A$65536</definedName>
    <definedName name="xxdssd">#REF!</definedName>
    <definedName name="y1Shares">[23]Settings!$M$29</definedName>
    <definedName name="Yes">'[6]Project Charter'!$R$50:$R$51</definedName>
    <definedName name="YesNo">[19]Instructions!$I$3:$I$4</definedName>
    <definedName name="YEU">[3]before!$A$3:$N$34</definedName>
    <definedName name="zcf3">[24]JW3!$N$58</definedName>
    <definedName name="zcf4">[24]JW4!$N$47</definedName>
    <definedName name="zcf5">[24]JW5!$N$19</definedName>
    <definedName name="zcf6">[24]JW5!$N$45</definedName>
    <definedName name="zjf1">#REF!</definedName>
    <definedName name="zjf2">#REF!</definedName>
    <definedName name="zjf3">#REF!</definedName>
    <definedName name="zvcbcx">#REF!</definedName>
    <definedName name="전">#REF!</definedName>
    <definedName name="주택사업본부">#REF!</definedName>
    <definedName name="철구사업본부">#REF!</definedName>
    <definedName name="一">'[25]1'!$B$4:$G$7</definedName>
    <definedName name="七">'[25]7'!$B$6:$G$15</definedName>
    <definedName name="三">'[25]3'!$B$6:$G$9</definedName>
    <definedName name="上悬窗用风撑">[28]sheet2!$D$11</definedName>
    <definedName name="不含税造价">#REF!</definedName>
    <definedName name="东坡水厂合计">#REF!</definedName>
    <definedName name="中华路合计">#REF!</definedName>
    <definedName name="中国营经济">[31]甲指乙供材料报价表!#REF!</definedName>
    <definedName name="中砂配合比">[36]配合比!$E$5</definedName>
    <definedName name="中砂重量比">[36]配合比!$E$6</definedName>
    <definedName name="主卧卫生间">LEFT(text03_1,_num2)</definedName>
    <definedName name="主材人工费">#REF!</definedName>
    <definedName name="主材价差流贷">#REF!</definedName>
    <definedName name="主材市场价差">#REF!</definedName>
    <definedName name="主材浮动率0">#REF!</definedName>
    <definedName name="主材调整">#REF!</definedName>
    <definedName name="主材费合计">#REF!</definedName>
    <definedName name="九">'[14]7'!$B$6:$G$15</definedName>
    <definedName name="二">'[25]2'!$B$6:$G$13</definedName>
    <definedName name="五">'[25]5'!$B$6:$G$15</definedName>
    <definedName name="五十">SUBSTITUTE(text_1,text2,"")</definedName>
    <definedName name="人力平均运距">#REF!</definedName>
    <definedName name="人工挖土">#REF!</definedName>
    <definedName name="人工浮动率0">#REF!</definedName>
    <definedName name="人工调整">#REF!</definedName>
    <definedName name="人工费合计">#REF!</definedName>
    <definedName name="人武部合计">#REF!</definedName>
    <definedName name="传动器">[28]sheet2!$B$9</definedName>
    <definedName name="供销车队合计">#REF!</definedName>
    <definedName name="倒萨">#REF!</definedName>
    <definedName name="八">'[25]8'!$B$6:$G$9</definedName>
    <definedName name="六">'[25]6'!$B$6:$G$8</definedName>
    <definedName name="其他五金配件">[28]sheet2!$B$14</definedName>
    <definedName name="其他费用">#REF!</definedName>
    <definedName name="刚3">#REF!</definedName>
    <definedName name="利润">'[32] 室内装饰房型一'!$L$6</definedName>
    <definedName name="北京中远广田装饰工程有限公司">#REF!</definedName>
    <definedName name="南门小学合计">#REF!</definedName>
    <definedName name="可">#REF!</definedName>
    <definedName name="名称">#REF!</definedName>
    <definedName name="哎哎哎">#REF!</definedName>
    <definedName name="四">'[25]4'!$B$6:$G$43</definedName>
    <definedName name="土">[27]材料清单!#REF!</definedName>
    <definedName name="土方中人凿及排水沟、基面归零">[38]单位工程2!$E$22:$E$24,[38]单位工程2!$E$53:$E$56,[38]单位工程2!$E$78,[38]单位工程2!$E$79:$E$99</definedName>
    <definedName name="土方工程">#REF!</definedName>
    <definedName name="土石方基数归零">'[38]土石方计算(2)'!$H$6:$H$15,'[38]土石方计算(2)'!$H$18:$H$126,'[38]土石方计算(2)'!$H$130:$H$137</definedName>
    <definedName name="地弹簧">[28]sheet2!$B$12</definedName>
    <definedName name="地脚螺栓">#REF!</definedName>
    <definedName name="城乡电网">[7]封!#REF!</definedName>
    <definedName name="基本直接费">#REF!</definedName>
    <definedName name="基础">#REF!</definedName>
    <definedName name="基础钢筋">#REF!</definedName>
    <definedName name="塔材">#REF!</definedName>
    <definedName name="填缝胶">[28]sheet2!$B$18</definedName>
    <definedName name="墙200模">#REF!</definedName>
    <definedName name="墙500模">#REF!</definedName>
    <definedName name="外涂">#REF!</definedName>
    <definedName name="外面砖">#REF!</definedName>
    <definedName name="大修工程">[7]封!#REF!</definedName>
    <definedName name="大计">#REF!</definedName>
    <definedName name="天沟">#REF!</definedName>
    <definedName name="安装费合计">#REF!</definedName>
    <definedName name="定额人工费">#REF!</definedName>
    <definedName name="定额柳贺罗">[29]定额!$A$2:$G$644</definedName>
    <definedName name="审核表1">#REF!</definedName>
    <definedName name="密封胶">[28]sheet2!$B$17</definedName>
    <definedName name="小计">#REF!</definedName>
    <definedName name="小计名称">#REF!</definedName>
    <definedName name="工匠">[31]施工参考单价报价表!#REF!</definedName>
    <definedName name="布草间">#REF!</definedName>
    <definedName name="建筑面积计算规则">#REF!</definedName>
    <definedName name="异形足">#REF!</definedName>
    <definedName name="异柱模">#REF!</definedName>
    <definedName name="总计">#REF!</definedName>
    <definedName name="总造价">#REF!</definedName>
    <definedName name="执手">[28]sheet2!$B$8</definedName>
    <definedName name="技改工程">[7]封!#REF!</definedName>
    <definedName name="投标材料清单">'[25]投标材料清单 '!$B$5:$J$75</definedName>
    <definedName name="抹灰工程">#REF!</definedName>
    <definedName name="接地">#REF!</definedName>
    <definedName name="接地钢筋">#REF!</definedName>
    <definedName name="数量">#REF!</definedName>
    <definedName name="新华山合计">#REF!</definedName>
    <definedName name="新建工程">[7]封!#REF!</definedName>
    <definedName name="新桥合计">#REF!</definedName>
    <definedName name="时">#REF!</definedName>
    <definedName name="期望利润率0">#REF!</definedName>
    <definedName name="机械费合计">#REF!</definedName>
    <definedName name="机电工程">#REF!</definedName>
    <definedName name="材料">[8]送电装材统计!#REF!</definedName>
    <definedName name="材料费合计">#REF!</definedName>
    <definedName name="材机调差.">#REF!</definedName>
    <definedName name="材机调整">#REF!</definedName>
    <definedName name="来老">'[33]3'!$B$6:$G$9</definedName>
    <definedName name="桩模">#REF!</definedName>
    <definedName name="梁板钢筋根数">#REF!</definedName>
    <definedName name="梁模">#REF!</definedName>
    <definedName name="梦幻网吧合计">#REF!</definedName>
    <definedName name="毛">[27]材料清单!#REF!</definedName>
    <definedName name="水">#REF!</definedName>
    <definedName name="水泥配合比">[36]配合比!$G$5</definedName>
    <definedName name="水电费">[28]sheet2!$B$37</definedName>
    <definedName name="水系统">#REF!</definedName>
    <definedName name="汇总表">#REF!</definedName>
    <definedName name="汇率">#REF!</definedName>
    <definedName name="汽车">[12]送电装材统计!#REF!</definedName>
    <definedName name="汽车平均运">#REF!</definedName>
    <definedName name="汽车平均运距">#REF!</definedName>
    <definedName name="汽车平均运距离">#REF!</definedName>
    <definedName name="滑轮">[28]sheet2!$B$13</definedName>
    <definedName name="物业管理合计">#REF!</definedName>
    <definedName name="玻璃损耗">[27]材料清单!#REF!</definedName>
    <definedName name="瑶田合计">#REF!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[35]资产负债表!#REF!</definedName>
    <definedName name="生产期6">#REF!</definedName>
    <definedName name="生产期7">#REF!</definedName>
    <definedName name="生产期8">#REF!</definedName>
    <definedName name="生产期9">#REF!</definedName>
    <definedName name="电机厂合计">#REF!</definedName>
    <definedName name="矩柱模">#REF!</definedName>
    <definedName name="石子配合比">[36]配合比!$F$5</definedName>
    <definedName name="石子重量比">[36]配合比!$F$6</definedName>
    <definedName name="砖石工程">#REF!</definedName>
    <definedName name="砼10">#REF!</definedName>
    <definedName name="砼15">#REF!</definedName>
    <definedName name="砼16">[31]甲指乙供材料报价表!#REF!</definedName>
    <definedName name="砼20">#REF!</definedName>
    <definedName name="砼25">#REF!</definedName>
    <definedName name="砼30">#REF!</definedName>
    <definedName name="砼35">#REF!</definedName>
    <definedName name="砼40">#REF!</definedName>
    <definedName name="砼45">#REF!</definedName>
    <definedName name="砼50">#REF!</definedName>
    <definedName name="砼55">#REF!</definedName>
    <definedName name="砼中砂">#REF!</definedName>
    <definedName name="砼杆数、量归零">[38]混凝土杆材料!$E$6:$E$51,[38]混凝土杆材料!$L$6:$L$51,[38]混凝土杆材料!$S$6:$S$51,[38]混凝土杆材料!$Z$6:$Z$51,[38]混凝土杆材料!$J$3,[38]混凝土杆材料!$Q$3,[38]混凝土杆材料!$X$3,[38]混凝土杆材料!$AE$3</definedName>
    <definedName name="砼水">#REF!</definedName>
    <definedName name="砼水泥">#REF!</definedName>
    <definedName name="砼浇">#REF!</definedName>
    <definedName name="砼石">#REF!</definedName>
    <definedName name="税率0">#REF!</definedName>
    <definedName name="税金">'[32] 室内装饰房型一'!$M$6</definedName>
    <definedName name="管理费">'[32] 室内装饰房型一'!$K$6</definedName>
    <definedName name="管理费率0">#REF!</definedName>
    <definedName name="纱窗">[28]sheet2!$B$20</definedName>
    <definedName name="绝缘子数量归零">#REF!,#REF!,#REF!,#REF!,#REF!,#REF!,#REF!,#REF!,#REF!,#REF!,#REF!,#REF!,#REF!,#REF!</definedName>
    <definedName name="综合管理费">#REF!</definedName>
    <definedName name="综合费">#REF!</definedName>
    <definedName name="编制年价差">'[26]土石方计算(2)'!$H$6:$H$15,'[26]土石方计算(2)'!$H$18:$H$125,'[26]土石方计算(2)'!$H$129:$H$136</definedName>
    <definedName name="编制说明2">#REF!</definedName>
    <definedName name="聚氨酯">#REF!</definedName>
    <definedName name="胶损耗">[27]材料清单!#REF!</definedName>
    <definedName name="脚手架定额">#REF!</definedName>
    <definedName name="螺栓">#REF!</definedName>
    <definedName name="表">[26]单位工程2!$E$22:$E$24,[26]单位工程2!$E$53:$E$56,[26]单位工程2!$E$78,[26]单位工程2!$E$79:$E$99</definedName>
    <definedName name="装饰楼地面A">#REF!</definedName>
    <definedName name="解放北路合计">#REF!</definedName>
    <definedName name="计算式_长度L___根数N_为整数">#REF!</definedName>
    <definedName name="请打">'[14]投标材料清单 '!$B$5:$J$75</definedName>
    <definedName name="费率">'[30]开办项目 '!$B$3</definedName>
    <definedName name="辅助设施">#REF!</definedName>
    <definedName name="辅材浮动率0">#REF!</definedName>
    <definedName name="运输公司">#REF!</definedName>
    <definedName name="金具各串数量归零">#REF!,#REF!,#REF!,#REF!,#REF!,#REF!,#REF!,#REF!,#REF!,#REF!,#REF!,#REF!,#REF!</definedName>
    <definedName name="金属结构工程">#REF!</definedName>
    <definedName name="钢12">#REF!</definedName>
    <definedName name="钢3">#REF!</definedName>
    <definedName name="钢材损耗">[27]材料清单!#REF!</definedName>
    <definedName name="钢筋砼部分">#REF!</definedName>
    <definedName name="铁塔基数清零">[38]铁塔材料明细!$E$6:$E$13,[38]铁塔材料明细!$E$16:$E$63,[38]铁塔材料明细!$E$66:$E$80,[38]铁塔材料明细!#REF!</definedName>
    <definedName name="铝材">[28]sheet2!$B$5</definedName>
    <definedName name="铝材损耗">[27]材料清单!#REF!</definedName>
    <definedName name="铰链">[28]sheet2!$B$10</definedName>
    <definedName name="门窗表">[34]门窗表!$A$1:$O$115</definedName>
    <definedName name="随碟附送地方">[37]封!#REF!</definedName>
    <definedName name="零星材料">#REF!</definedName>
    <definedName name="零星模">#REF!</definedName>
    <definedName name="面积合计">'[25]面积合计（藏）'!$B$5:$H$88</definedName>
    <definedName name="风管">#REF!</definedName>
    <definedName name="马屏支线">[7]封!#REF!</definedName>
    <definedName name="黄山路合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58" l="1"/>
  <c r="J10" i="58"/>
  <c r="C9" i="58"/>
  <c r="D9" i="58"/>
  <c r="E9" i="58"/>
  <c r="E11" i="58" s="1"/>
  <c r="F9" i="58"/>
  <c r="F11" i="58" s="1"/>
  <c r="G9" i="58"/>
  <c r="G11" i="58" s="1"/>
  <c r="H9" i="58"/>
  <c r="H11" i="58" s="1"/>
  <c r="I9" i="58"/>
  <c r="I11" i="58" s="1"/>
  <c r="C4" i="58"/>
  <c r="C10" i="58" l="1"/>
  <c r="D10" i="58"/>
  <c r="E10" i="58"/>
  <c r="F10" i="58"/>
  <c r="G10" i="58"/>
  <c r="H10" i="58"/>
  <c r="I10" i="58"/>
  <c r="AL35" i="47"/>
  <c r="AH35" i="47"/>
  <c r="AA35" i="47"/>
  <c r="S35" i="47"/>
  <c r="L35" i="47"/>
  <c r="AL34" i="47"/>
  <c r="AH34" i="47"/>
  <c r="AA34" i="47"/>
  <c r="S34" i="47"/>
  <c r="L34" i="47"/>
  <c r="AL33" i="47"/>
  <c r="AH33" i="47"/>
  <c r="AA33" i="47"/>
  <c r="S33" i="47"/>
  <c r="L33" i="47"/>
  <c r="AL32" i="47"/>
  <c r="AH32" i="47"/>
  <c r="AA32" i="47"/>
  <c r="S32" i="47"/>
  <c r="L32" i="47"/>
  <c r="AL31" i="47"/>
  <c r="AH31" i="47"/>
  <c r="AA31" i="47"/>
  <c r="S31" i="47"/>
  <c r="L31" i="47"/>
  <c r="AL30" i="47"/>
  <c r="AH30" i="47"/>
  <c r="AA30" i="47"/>
  <c r="S30" i="47"/>
  <c r="L30" i="47"/>
  <c r="AL29" i="47"/>
  <c r="AH29" i="47"/>
  <c r="AA29" i="47"/>
  <c r="S29" i="47"/>
  <c r="L29" i="47"/>
  <c r="AL28" i="47"/>
  <c r="AH28" i="47"/>
  <c r="AA28" i="47"/>
  <c r="S28" i="47"/>
  <c r="L28" i="47"/>
  <c r="BD27" i="47"/>
  <c r="AL27" i="47"/>
  <c r="AH27" i="47"/>
  <c r="AA27" i="47"/>
  <c r="S27" i="47"/>
  <c r="L27" i="47"/>
  <c r="A27" i="47"/>
  <c r="A28" i="47" s="1"/>
  <c r="A29" i="47" s="1"/>
  <c r="A30" i="47" s="1"/>
  <c r="AH26" i="47"/>
  <c r="AA26" i="47"/>
  <c r="AL25" i="47"/>
  <c r="AH25" i="47"/>
  <c r="AA25" i="47"/>
  <c r="S25" i="47"/>
  <c r="L25" i="47"/>
  <c r="AL24" i="47"/>
  <c r="AH24" i="47"/>
  <c r="AA24" i="47"/>
  <c r="S24" i="47"/>
  <c r="L24" i="47"/>
  <c r="AL23" i="47"/>
  <c r="AH23" i="47"/>
  <c r="AA23" i="47"/>
  <c r="S23" i="47"/>
  <c r="L23" i="47"/>
  <c r="AL22" i="47"/>
  <c r="AH22" i="47"/>
  <c r="AA22" i="47"/>
  <c r="S22" i="47"/>
  <c r="L22" i="47"/>
  <c r="AL21" i="47"/>
  <c r="AH21" i="47"/>
  <c r="AA21" i="47"/>
  <c r="S21" i="47"/>
  <c r="L21" i="47"/>
  <c r="AL19" i="47"/>
  <c r="AH19" i="47"/>
  <c r="AA19" i="47"/>
  <c r="S19" i="47"/>
  <c r="L19" i="47"/>
  <c r="AL18" i="47"/>
  <c r="AH18" i="47"/>
  <c r="AA18" i="47"/>
  <c r="S18" i="47"/>
  <c r="L18" i="47"/>
  <c r="AL17" i="47"/>
  <c r="AH17" i="47"/>
  <c r="AA17" i="47"/>
  <c r="S17" i="47"/>
  <c r="L17" i="47"/>
  <c r="AL16" i="47"/>
  <c r="AM16" i="47" s="1"/>
  <c r="AH16" i="47"/>
  <c r="AA16" i="47"/>
  <c r="S16" i="47"/>
  <c r="L16" i="47"/>
  <c r="AL15" i="47"/>
  <c r="AH15" i="47"/>
  <c r="AA15" i="47"/>
  <c r="S15" i="47"/>
  <c r="L15" i="47"/>
  <c r="AL14" i="47"/>
  <c r="AH14" i="47"/>
  <c r="AA14" i="47"/>
  <c r="S14" i="47"/>
  <c r="L14" i="47"/>
  <c r="A4" i="47"/>
  <c r="A3" i="47"/>
  <c r="S179" i="46"/>
  <c r="L179" i="46"/>
  <c r="S177" i="46"/>
  <c r="L177" i="46"/>
  <c r="AL176" i="46"/>
  <c r="AH176" i="46"/>
  <c r="AA176" i="46"/>
  <c r="S176" i="46"/>
  <c r="L176" i="46"/>
  <c r="AL175" i="46"/>
  <c r="S175" i="46"/>
  <c r="L175" i="46"/>
  <c r="AL174" i="46"/>
  <c r="AH174" i="46"/>
  <c r="AA174" i="46"/>
  <c r="S174" i="46"/>
  <c r="L174" i="46"/>
  <c r="AL173" i="46"/>
  <c r="AH173" i="46"/>
  <c r="AA173" i="46"/>
  <c r="S173" i="46"/>
  <c r="L173" i="46"/>
  <c r="AL172" i="46"/>
  <c r="AH172" i="46"/>
  <c r="AA172" i="46"/>
  <c r="S172" i="46"/>
  <c r="L172" i="46"/>
  <c r="AL171" i="46"/>
  <c r="AH171" i="46"/>
  <c r="AA171" i="46"/>
  <c r="S171" i="46"/>
  <c r="L171" i="46"/>
  <c r="AL170" i="46"/>
  <c r="AH170" i="46"/>
  <c r="AA170" i="46"/>
  <c r="S170" i="46"/>
  <c r="L170" i="46"/>
  <c r="AL169" i="46"/>
  <c r="AV169" i="46" s="1"/>
  <c r="AH169" i="46"/>
  <c r="AA169" i="46"/>
  <c r="S169" i="46"/>
  <c r="L169" i="46"/>
  <c r="AL168" i="46"/>
  <c r="AH168" i="46"/>
  <c r="AA168" i="46"/>
  <c r="S168" i="46"/>
  <c r="L168" i="46"/>
  <c r="AL167" i="46"/>
  <c r="AH167" i="46"/>
  <c r="AA167" i="46"/>
  <c r="S167" i="46"/>
  <c r="L167" i="46"/>
  <c r="AL166" i="46"/>
  <c r="AH166" i="46"/>
  <c r="AA166" i="46"/>
  <c r="S166" i="46"/>
  <c r="L166" i="46"/>
  <c r="AL165" i="46"/>
  <c r="AH165" i="46"/>
  <c r="AA165" i="46"/>
  <c r="S165" i="46"/>
  <c r="L165" i="46"/>
  <c r="AL164" i="46"/>
  <c r="AH164" i="46"/>
  <c r="AA164" i="46"/>
  <c r="S164" i="46"/>
  <c r="L164" i="46"/>
  <c r="AL163" i="46"/>
  <c r="AH163" i="46"/>
  <c r="AA163" i="46"/>
  <c r="S163" i="46"/>
  <c r="L163" i="46"/>
  <c r="AL162" i="46"/>
  <c r="AH162" i="46"/>
  <c r="AA162" i="46"/>
  <c r="S162" i="46"/>
  <c r="L162" i="46"/>
  <c r="AL161" i="46"/>
  <c r="AH161" i="46"/>
  <c r="AA161" i="46"/>
  <c r="S161" i="46"/>
  <c r="L161" i="46"/>
  <c r="AL160" i="46"/>
  <c r="AH160" i="46"/>
  <c r="AA160" i="46"/>
  <c r="S160" i="46"/>
  <c r="L160" i="46"/>
  <c r="AL159" i="46"/>
  <c r="AH159" i="46"/>
  <c r="AA159" i="46"/>
  <c r="S159" i="46"/>
  <c r="L159" i="46"/>
  <c r="AL158" i="46"/>
  <c r="AH158" i="46"/>
  <c r="AA158" i="46"/>
  <c r="S158" i="46"/>
  <c r="L158" i="46"/>
  <c r="AL157" i="46"/>
  <c r="AM157" i="46" s="1"/>
  <c r="AH157" i="46"/>
  <c r="AA157" i="46"/>
  <c r="S157" i="46"/>
  <c r="L157" i="46"/>
  <c r="AL156" i="46"/>
  <c r="AH156" i="46"/>
  <c r="AA156" i="46"/>
  <c r="S156" i="46"/>
  <c r="L156" i="46"/>
  <c r="AL155" i="46"/>
  <c r="AH155" i="46"/>
  <c r="AA155" i="46"/>
  <c r="S155" i="46"/>
  <c r="L155" i="46"/>
  <c r="AL154" i="46"/>
  <c r="AH154" i="46"/>
  <c r="AA154" i="46"/>
  <c r="S154" i="46"/>
  <c r="L154" i="46"/>
  <c r="AL153" i="46"/>
  <c r="AH153" i="46"/>
  <c r="S153" i="46"/>
  <c r="L153" i="46"/>
  <c r="AL152" i="46"/>
  <c r="AH152" i="46"/>
  <c r="S152" i="46"/>
  <c r="L152" i="46"/>
  <c r="AL151" i="46"/>
  <c r="AH151" i="46"/>
  <c r="S151" i="46"/>
  <c r="L151" i="46"/>
  <c r="AL150" i="46"/>
  <c r="AH150" i="46"/>
  <c r="S150" i="46"/>
  <c r="L150" i="46"/>
  <c r="AL149" i="46"/>
  <c r="AH149" i="46"/>
  <c r="S149" i="46"/>
  <c r="L149" i="46"/>
  <c r="AL148" i="46"/>
  <c r="S148" i="46"/>
  <c r="L148" i="46"/>
  <c r="AL147" i="46"/>
  <c r="S147" i="46"/>
  <c r="L147" i="46"/>
  <c r="AL146" i="46"/>
  <c r="BA146" i="46" s="1"/>
  <c r="S146" i="46"/>
  <c r="L146" i="46"/>
  <c r="AL145" i="46"/>
  <c r="AH145" i="46"/>
  <c r="AA145" i="46"/>
  <c r="S145" i="46"/>
  <c r="L145" i="46"/>
  <c r="AL143" i="46"/>
  <c r="AH143" i="46"/>
  <c r="AA143" i="46"/>
  <c r="S143" i="46"/>
  <c r="L143" i="46"/>
  <c r="AL142" i="46"/>
  <c r="AH142" i="46"/>
  <c r="AA142" i="46"/>
  <c r="S142" i="46"/>
  <c r="L142" i="46"/>
  <c r="AL141" i="46"/>
  <c r="AH141" i="46"/>
  <c r="AA141" i="46"/>
  <c r="S141" i="46"/>
  <c r="L141" i="46"/>
  <c r="AL140" i="46"/>
  <c r="AH140" i="46"/>
  <c r="AA140" i="46"/>
  <c r="S140" i="46"/>
  <c r="L140" i="46"/>
  <c r="AL139" i="46"/>
  <c r="AH139" i="46"/>
  <c r="AA139" i="46"/>
  <c r="S139" i="46"/>
  <c r="L139" i="46"/>
  <c r="AL138" i="46"/>
  <c r="AM138" i="46" s="1"/>
  <c r="AH138" i="46"/>
  <c r="AA138" i="46"/>
  <c r="S138" i="46"/>
  <c r="L138" i="46"/>
  <c r="AL137" i="46"/>
  <c r="AH137" i="46"/>
  <c r="AA137" i="46"/>
  <c r="S137" i="46"/>
  <c r="L137" i="46"/>
  <c r="AL136" i="46"/>
  <c r="AH136" i="46"/>
  <c r="AA136" i="46"/>
  <c r="S136" i="46"/>
  <c r="L136" i="46"/>
  <c r="AL135" i="46"/>
  <c r="AH135" i="46"/>
  <c r="AA135" i="46"/>
  <c r="S135" i="46"/>
  <c r="L135" i="46"/>
  <c r="AL134" i="46"/>
  <c r="AH134" i="46"/>
  <c r="AA134" i="46"/>
  <c r="S134" i="46"/>
  <c r="L134" i="46"/>
  <c r="AL133" i="46"/>
  <c r="AZ133" i="46" s="1"/>
  <c r="AH133" i="46"/>
  <c r="AA133" i="46"/>
  <c r="S133" i="46"/>
  <c r="L133" i="46"/>
  <c r="AL132" i="46"/>
  <c r="AH132" i="46"/>
  <c r="AA132" i="46"/>
  <c r="S132" i="46"/>
  <c r="L132" i="46"/>
  <c r="AL131" i="46"/>
  <c r="AH131" i="46"/>
  <c r="AA131" i="46"/>
  <c r="S131" i="46"/>
  <c r="L131" i="46"/>
  <c r="AL130" i="46"/>
  <c r="AH130" i="46"/>
  <c r="AA130" i="46"/>
  <c r="S130" i="46"/>
  <c r="L130" i="46"/>
  <c r="AL129" i="46"/>
  <c r="AH129" i="46"/>
  <c r="AA129" i="46"/>
  <c r="S129" i="46"/>
  <c r="L129" i="46"/>
  <c r="AL128" i="46"/>
  <c r="AH128" i="46"/>
  <c r="AA128" i="46"/>
  <c r="S128" i="46"/>
  <c r="L128" i="46"/>
  <c r="AL127" i="46"/>
  <c r="AH127" i="46"/>
  <c r="AA127" i="46"/>
  <c r="S127" i="46"/>
  <c r="L127" i="46"/>
  <c r="AL126" i="46"/>
  <c r="AH126" i="46"/>
  <c r="AA126" i="46"/>
  <c r="S126" i="46"/>
  <c r="L126" i="46"/>
  <c r="AL125" i="46"/>
  <c r="AH125" i="46"/>
  <c r="AA125" i="46"/>
  <c r="S125" i="46"/>
  <c r="L125" i="46"/>
  <c r="AL124" i="46"/>
  <c r="AM124" i="46" s="1"/>
  <c r="AH124" i="46"/>
  <c r="AA124" i="46"/>
  <c r="S124" i="46"/>
  <c r="L124" i="46"/>
  <c r="AL123" i="46"/>
  <c r="AO123" i="46" s="1"/>
  <c r="AH123" i="46"/>
  <c r="AA123" i="46"/>
  <c r="S123" i="46"/>
  <c r="L123" i="46"/>
  <c r="AL122" i="46"/>
  <c r="AH122" i="46"/>
  <c r="AA122" i="46"/>
  <c r="S122" i="46"/>
  <c r="L122" i="46"/>
  <c r="AL121" i="46"/>
  <c r="AH121" i="46"/>
  <c r="AA121" i="46"/>
  <c r="S121" i="46"/>
  <c r="L121" i="46"/>
  <c r="AL120" i="46"/>
  <c r="AH120" i="46"/>
  <c r="AA120" i="46"/>
  <c r="S120" i="46"/>
  <c r="L120" i="46"/>
  <c r="AL119" i="46"/>
  <c r="AH119" i="46"/>
  <c r="AA119" i="46"/>
  <c r="S119" i="46"/>
  <c r="L119" i="46"/>
  <c r="AL118" i="46"/>
  <c r="AV118" i="46" s="1"/>
  <c r="AH118" i="46"/>
  <c r="AA118" i="46"/>
  <c r="S118" i="46"/>
  <c r="L118" i="46"/>
  <c r="AL117" i="46"/>
  <c r="AH117" i="46"/>
  <c r="AA117" i="46"/>
  <c r="S117" i="46"/>
  <c r="L117" i="46"/>
  <c r="AL116" i="46"/>
  <c r="AH116" i="46"/>
  <c r="AA116" i="46"/>
  <c r="S116" i="46"/>
  <c r="L116" i="46"/>
  <c r="AL115" i="46"/>
  <c r="AP115" i="46" s="1"/>
  <c r="AH115" i="46"/>
  <c r="AA115" i="46"/>
  <c r="S115" i="46"/>
  <c r="L115" i="46"/>
  <c r="AL114" i="46"/>
  <c r="AH114" i="46"/>
  <c r="AA114" i="46"/>
  <c r="S114" i="46"/>
  <c r="L114" i="46"/>
  <c r="AL113" i="46"/>
  <c r="AH113" i="46"/>
  <c r="AA113" i="46"/>
  <c r="S113" i="46"/>
  <c r="L113" i="46"/>
  <c r="AL112" i="46"/>
  <c r="AH112" i="46"/>
  <c r="AA112" i="46"/>
  <c r="S112" i="46"/>
  <c r="L112" i="46"/>
  <c r="AL111" i="46"/>
  <c r="AH111" i="46"/>
  <c r="AA111" i="46"/>
  <c r="S111" i="46"/>
  <c r="L111" i="46"/>
  <c r="AL110" i="46"/>
  <c r="AH110" i="46"/>
  <c r="AA110" i="46"/>
  <c r="S110" i="46"/>
  <c r="L110" i="46"/>
  <c r="AL109" i="46"/>
  <c r="AH109" i="46"/>
  <c r="AA109" i="46"/>
  <c r="S109" i="46"/>
  <c r="L109" i="46"/>
  <c r="AL108" i="46"/>
  <c r="AH108" i="46"/>
  <c r="AA108" i="46"/>
  <c r="S108" i="46"/>
  <c r="L108" i="46"/>
  <c r="AL107" i="46"/>
  <c r="AH107" i="46"/>
  <c r="AA107" i="46"/>
  <c r="S107" i="46"/>
  <c r="L107" i="46"/>
  <c r="AL106" i="46"/>
  <c r="AH106" i="46"/>
  <c r="AA106" i="46"/>
  <c r="S106" i="46"/>
  <c r="L106" i="46"/>
  <c r="AL105" i="46"/>
  <c r="AH105" i="46"/>
  <c r="AA105" i="46"/>
  <c r="S105" i="46"/>
  <c r="L105" i="46"/>
  <c r="AL104" i="46"/>
  <c r="AH104" i="46"/>
  <c r="AA104" i="46"/>
  <c r="S104" i="46"/>
  <c r="L104" i="46"/>
  <c r="AL103" i="46"/>
  <c r="AH103" i="46"/>
  <c r="AA103" i="46"/>
  <c r="S103" i="46"/>
  <c r="L103" i="46"/>
  <c r="AL102" i="46"/>
  <c r="AH102" i="46"/>
  <c r="AA102" i="46"/>
  <c r="S102" i="46"/>
  <c r="L102" i="46"/>
  <c r="AL101" i="46"/>
  <c r="AH101" i="46"/>
  <c r="AA101" i="46"/>
  <c r="S101" i="46"/>
  <c r="L101" i="46"/>
  <c r="AL100" i="46"/>
  <c r="AH100" i="46"/>
  <c r="AA100" i="46"/>
  <c r="S100" i="46"/>
  <c r="L100" i="46"/>
  <c r="AL99" i="46"/>
  <c r="AH99" i="46"/>
  <c r="AA99" i="46"/>
  <c r="S99" i="46"/>
  <c r="L99" i="46"/>
  <c r="AL98" i="46"/>
  <c r="AH98" i="46"/>
  <c r="AA98" i="46"/>
  <c r="S98" i="46"/>
  <c r="L98" i="46"/>
  <c r="AL97" i="46"/>
  <c r="AZ97" i="46" s="1"/>
  <c r="AH97" i="46"/>
  <c r="AA97" i="46"/>
  <c r="S97" i="46"/>
  <c r="L97" i="46"/>
  <c r="AL96" i="46"/>
  <c r="AH96" i="46"/>
  <c r="AA96" i="46"/>
  <c r="S96" i="46"/>
  <c r="L96" i="46"/>
  <c r="AL95" i="46"/>
  <c r="AH95" i="46"/>
  <c r="AA95" i="46"/>
  <c r="S95" i="46"/>
  <c r="L95" i="46"/>
  <c r="AL94" i="46"/>
  <c r="AH94" i="46"/>
  <c r="AA94" i="46"/>
  <c r="S94" i="46"/>
  <c r="L94" i="46"/>
  <c r="AL93" i="46"/>
  <c r="AH93" i="46"/>
  <c r="AA93" i="46"/>
  <c r="S93" i="46"/>
  <c r="L93" i="46"/>
  <c r="AL92" i="46"/>
  <c r="AH92" i="46"/>
  <c r="AA92" i="46"/>
  <c r="S92" i="46"/>
  <c r="L92" i="46"/>
  <c r="AL91" i="46"/>
  <c r="AH91" i="46"/>
  <c r="AA91" i="46"/>
  <c r="S91" i="46"/>
  <c r="L91" i="46"/>
  <c r="AL90" i="46"/>
  <c r="AO90" i="46" s="1"/>
  <c r="AH90" i="46"/>
  <c r="AA90" i="46"/>
  <c r="S90" i="46"/>
  <c r="L90" i="46"/>
  <c r="AL89" i="46"/>
  <c r="AH89" i="46"/>
  <c r="AA89" i="46"/>
  <c r="S89" i="46"/>
  <c r="L89" i="46"/>
  <c r="AL88" i="46"/>
  <c r="AH88" i="46"/>
  <c r="AA88" i="46"/>
  <c r="S88" i="46"/>
  <c r="L88" i="46"/>
  <c r="AL87" i="46"/>
  <c r="AH87" i="46"/>
  <c r="AA87" i="46"/>
  <c r="S87" i="46"/>
  <c r="L87" i="46"/>
  <c r="AL86" i="46"/>
  <c r="AH86" i="46"/>
  <c r="AA86" i="46"/>
  <c r="S86" i="46"/>
  <c r="L86" i="46"/>
  <c r="AL85" i="46"/>
  <c r="AZ85" i="46" s="1"/>
  <c r="AH85" i="46"/>
  <c r="AA85" i="46"/>
  <c r="S85" i="46"/>
  <c r="L85" i="46"/>
  <c r="AL84" i="46"/>
  <c r="AH84" i="46"/>
  <c r="AA84" i="46"/>
  <c r="S84" i="46"/>
  <c r="L84" i="46"/>
  <c r="AL83" i="46"/>
  <c r="AW83" i="46" s="1"/>
  <c r="AH83" i="46"/>
  <c r="AA83" i="46"/>
  <c r="S83" i="46"/>
  <c r="L83" i="46"/>
  <c r="AL82" i="46"/>
  <c r="AH82" i="46"/>
  <c r="AA82" i="46"/>
  <c r="S82" i="46"/>
  <c r="L82" i="46"/>
  <c r="AL81" i="46"/>
  <c r="AH81" i="46"/>
  <c r="AA81" i="46"/>
  <c r="S81" i="46"/>
  <c r="L81" i="46"/>
  <c r="AL80" i="46"/>
  <c r="AH80" i="46"/>
  <c r="AA80" i="46"/>
  <c r="S80" i="46"/>
  <c r="L80" i="46"/>
  <c r="AL79" i="46"/>
  <c r="AH79" i="46"/>
  <c r="AA79" i="46"/>
  <c r="S79" i="46"/>
  <c r="L79" i="46"/>
  <c r="AL78" i="46"/>
  <c r="AH78" i="46"/>
  <c r="AA78" i="46"/>
  <c r="S78" i="46"/>
  <c r="L78" i="46"/>
  <c r="AL77" i="46"/>
  <c r="AH77" i="46"/>
  <c r="AA77" i="46"/>
  <c r="S77" i="46"/>
  <c r="L77" i="46"/>
  <c r="AL76" i="46"/>
  <c r="AH76" i="46"/>
  <c r="AA76" i="46"/>
  <c r="S76" i="46"/>
  <c r="L76" i="46"/>
  <c r="AL75" i="46"/>
  <c r="AH75" i="46"/>
  <c r="AA75" i="46"/>
  <c r="S75" i="46"/>
  <c r="L75" i="46"/>
  <c r="AL74" i="46"/>
  <c r="AH74" i="46"/>
  <c r="AA74" i="46"/>
  <c r="S74" i="46"/>
  <c r="L74" i="46"/>
  <c r="AL73" i="46"/>
  <c r="AH73" i="46"/>
  <c r="AA73" i="46"/>
  <c r="S73" i="46"/>
  <c r="L73" i="46"/>
  <c r="AL72" i="46"/>
  <c r="AH72" i="46"/>
  <c r="AA72" i="46"/>
  <c r="S72" i="46"/>
  <c r="L72" i="46"/>
  <c r="AL71" i="46"/>
  <c r="AS71" i="46" s="1"/>
  <c r="AH71" i="46"/>
  <c r="AA71" i="46"/>
  <c r="S71" i="46"/>
  <c r="L71" i="46"/>
  <c r="AL70" i="46"/>
  <c r="AH70" i="46"/>
  <c r="AA70" i="46"/>
  <c r="S70" i="46"/>
  <c r="L70" i="46"/>
  <c r="AL69" i="46"/>
  <c r="AH69" i="46"/>
  <c r="AA69" i="46"/>
  <c r="S69" i="46"/>
  <c r="L69" i="46"/>
  <c r="AL68" i="46"/>
  <c r="AH68" i="46"/>
  <c r="AA68" i="46"/>
  <c r="S68" i="46"/>
  <c r="L68" i="46"/>
  <c r="AL67" i="46"/>
  <c r="AH67" i="46"/>
  <c r="AA67" i="46"/>
  <c r="S67" i="46"/>
  <c r="L67" i="46"/>
  <c r="AL66" i="46"/>
  <c r="AH66" i="46"/>
  <c r="AA66" i="46"/>
  <c r="S66" i="46"/>
  <c r="L66" i="46"/>
  <c r="AL65" i="46"/>
  <c r="AY65" i="46" s="1"/>
  <c r="AH65" i="46"/>
  <c r="AA65" i="46"/>
  <c r="S65" i="46"/>
  <c r="L65" i="46"/>
  <c r="AL64" i="46"/>
  <c r="AH64" i="46"/>
  <c r="AA64" i="46"/>
  <c r="S64" i="46"/>
  <c r="L64" i="46"/>
  <c r="AL63" i="46"/>
  <c r="AH63" i="46"/>
  <c r="AA63" i="46"/>
  <c r="S63" i="46"/>
  <c r="L63" i="46"/>
  <c r="AL62" i="46"/>
  <c r="AH62" i="46"/>
  <c r="AA62" i="46"/>
  <c r="S62" i="46"/>
  <c r="L62" i="46"/>
  <c r="AL61" i="46"/>
  <c r="AH61" i="46"/>
  <c r="AA61" i="46"/>
  <c r="S61" i="46"/>
  <c r="L61" i="46"/>
  <c r="AL57" i="46"/>
  <c r="AH57" i="46"/>
  <c r="AA57" i="46"/>
  <c r="AL56" i="46"/>
  <c r="AH56" i="46"/>
  <c r="AA56" i="46"/>
  <c r="AL55" i="46"/>
  <c r="AH55" i="46"/>
  <c r="AA55" i="46"/>
  <c r="AL54" i="46"/>
  <c r="AH54" i="46"/>
  <c r="AA54" i="46"/>
  <c r="AL53" i="46"/>
  <c r="AH53" i="46"/>
  <c r="AA53" i="46"/>
  <c r="AL52" i="46"/>
  <c r="AH52" i="46"/>
  <c r="AA52" i="46"/>
  <c r="AL51" i="46"/>
  <c r="AH51" i="46"/>
  <c r="AA51" i="46"/>
  <c r="AL50" i="46"/>
  <c r="AH50" i="46"/>
  <c r="AA50" i="46"/>
  <c r="AL49" i="46"/>
  <c r="AH49" i="46"/>
  <c r="AA49" i="46"/>
  <c r="AL48" i="46"/>
  <c r="AH48" i="46"/>
  <c r="AA48" i="46"/>
  <c r="AL47" i="46"/>
  <c r="AH47" i="46"/>
  <c r="AA47" i="46"/>
  <c r="AL46" i="46"/>
  <c r="AH46" i="46"/>
  <c r="AA46" i="46"/>
  <c r="AL45" i="46"/>
  <c r="AH45" i="46"/>
  <c r="AA45" i="46"/>
  <c r="AL44" i="46"/>
  <c r="AH44" i="46"/>
  <c r="AA44" i="46"/>
  <c r="AL43" i="46"/>
  <c r="AH43" i="46"/>
  <c r="AA43" i="46"/>
  <c r="AL42" i="46"/>
  <c r="AH42" i="46"/>
  <c r="AA42" i="46"/>
  <c r="AL41" i="46"/>
  <c r="AH41" i="46"/>
  <c r="AA41" i="46"/>
  <c r="AL40" i="46"/>
  <c r="AH40" i="46"/>
  <c r="AA40" i="46"/>
  <c r="AL39" i="46"/>
  <c r="AH39" i="46"/>
  <c r="AA39" i="46"/>
  <c r="AL38" i="46"/>
  <c r="AH38" i="46"/>
  <c r="AA38" i="46"/>
  <c r="AL37" i="46"/>
  <c r="AH37" i="46"/>
  <c r="AA37" i="46"/>
  <c r="AL36" i="46"/>
  <c r="AH36" i="46"/>
  <c r="AA36" i="46"/>
  <c r="AL35" i="46"/>
  <c r="AH35" i="46"/>
  <c r="AA35" i="46"/>
  <c r="AL34" i="46"/>
  <c r="AH34" i="46"/>
  <c r="AA34" i="46"/>
  <c r="AL33" i="46"/>
  <c r="AH33" i="46"/>
  <c r="AA33" i="46"/>
  <c r="AL32" i="46"/>
  <c r="AH32" i="46"/>
  <c r="AA32" i="46"/>
  <c r="AL31" i="46"/>
  <c r="AH31" i="46"/>
  <c r="AA31" i="46"/>
  <c r="AL30" i="46"/>
  <c r="AH30" i="46"/>
  <c r="AA30" i="46"/>
  <c r="AL29" i="46"/>
  <c r="AH29" i="46"/>
  <c r="AA29" i="46"/>
  <c r="AL28" i="46"/>
  <c r="AH28" i="46"/>
  <c r="AA28" i="46"/>
  <c r="AL27" i="46"/>
  <c r="AH27" i="46"/>
  <c r="AA27" i="46"/>
  <c r="AL26" i="46"/>
  <c r="AH26" i="46"/>
  <c r="AA26" i="46"/>
  <c r="AL25" i="46"/>
  <c r="AH25" i="46"/>
  <c r="AA25" i="46"/>
  <c r="AL24" i="46"/>
  <c r="AH24" i="46"/>
  <c r="AA24" i="46"/>
  <c r="AL23" i="46"/>
  <c r="AH23" i="46"/>
  <c r="AA23" i="46"/>
  <c r="AL22" i="46"/>
  <c r="AH22" i="46"/>
  <c r="AA22" i="46"/>
  <c r="AL21" i="46"/>
  <c r="AH21" i="46"/>
  <c r="AA21" i="46"/>
  <c r="AL20" i="46"/>
  <c r="AH20" i="46"/>
  <c r="AA20" i="46"/>
  <c r="AL19" i="46"/>
  <c r="AH19" i="46"/>
  <c r="AA19" i="46"/>
  <c r="AL18" i="46"/>
  <c r="AH18" i="46"/>
  <c r="AA18" i="46"/>
  <c r="AL17" i="46"/>
  <c r="AH17" i="46"/>
  <c r="AA17" i="46"/>
  <c r="AL16" i="46"/>
  <c r="AH16" i="46"/>
  <c r="AA16" i="46"/>
  <c r="AL15" i="46"/>
  <c r="AH15" i="46"/>
  <c r="AA15" i="46"/>
  <c r="AL14" i="46"/>
  <c r="AH14" i="46"/>
  <c r="AA14" i="46"/>
  <c r="A6" i="46"/>
  <c r="A4" i="46"/>
  <c r="A3" i="46"/>
  <c r="AM35" i="47" l="1"/>
  <c r="AV35" i="47"/>
  <c r="AU35" i="47"/>
  <c r="AS35" i="47"/>
  <c r="AR35" i="47"/>
  <c r="AQ35" i="47"/>
  <c r="AP35" i="47"/>
  <c r="AO35" i="47"/>
  <c r="AN35" i="47"/>
  <c r="AT35" i="47" s="1"/>
  <c r="AS34" i="47"/>
  <c r="AY34" i="47"/>
  <c r="AX34" i="47"/>
  <c r="AW34" i="47"/>
  <c r="AV34" i="47"/>
  <c r="AU34" i="47"/>
  <c r="AP32" i="47"/>
  <c r="AY32" i="47"/>
  <c r="AX32" i="47"/>
  <c r="AW32" i="47"/>
  <c r="AV32" i="47"/>
  <c r="AU32" i="47"/>
  <c r="AS32" i="47"/>
  <c r="AR32" i="47"/>
  <c r="AQ32" i="47"/>
  <c r="AO30" i="47"/>
  <c r="AW30" i="47"/>
  <c r="AV30" i="47"/>
  <c r="AU30" i="47"/>
  <c r="AS30" i="47"/>
  <c r="AR30" i="47"/>
  <c r="AQ30" i="47"/>
  <c r="AP30" i="47"/>
  <c r="AO28" i="47"/>
  <c r="AW28" i="47"/>
  <c r="AV28" i="47"/>
  <c r="AU28" i="47"/>
  <c r="AS28" i="47"/>
  <c r="AR28" i="47"/>
  <c r="AQ28" i="47"/>
  <c r="AP28" i="47"/>
  <c r="AR25" i="47"/>
  <c r="AY25" i="47"/>
  <c r="AX25" i="47"/>
  <c r="AW25" i="47"/>
  <c r="AV25" i="47"/>
  <c r="AU25" i="47"/>
  <c r="AS25" i="47"/>
  <c r="AP23" i="47"/>
  <c r="AW23" i="47"/>
  <c r="AV23" i="47"/>
  <c r="AU23" i="47"/>
  <c r="AS23" i="47"/>
  <c r="AR23" i="47"/>
  <c r="AQ23" i="47"/>
  <c r="AZ22" i="47"/>
  <c r="AY22" i="47"/>
  <c r="AX22" i="47"/>
  <c r="AW22" i="47"/>
  <c r="AM22" i="47"/>
  <c r="AN21" i="47"/>
  <c r="AU21" i="47"/>
  <c r="AS21" i="47"/>
  <c r="AR21" i="47"/>
  <c r="AQ21" i="47"/>
  <c r="AP21" i="47"/>
  <c r="AO21" i="47"/>
  <c r="AS19" i="47"/>
  <c r="AY19" i="47"/>
  <c r="AX19" i="47"/>
  <c r="AW19" i="47"/>
  <c r="AV19" i="47"/>
  <c r="AU19" i="47"/>
  <c r="AR17" i="47"/>
  <c r="AY17" i="47"/>
  <c r="AX17" i="47"/>
  <c r="AW17" i="47"/>
  <c r="AV17" i="47"/>
  <c r="AU17" i="47"/>
  <c r="AS17" i="47"/>
  <c r="AM15" i="47"/>
  <c r="AW15" i="47"/>
  <c r="AV15" i="47"/>
  <c r="AU15" i="47"/>
  <c r="AS15" i="47"/>
  <c r="AR15" i="47"/>
  <c r="AQ15" i="47"/>
  <c r="AP15" i="47"/>
  <c r="AO15" i="47"/>
  <c r="AN15" i="47"/>
  <c r="AW14" i="47"/>
  <c r="AM14" i="47"/>
  <c r="AN176" i="46"/>
  <c r="AM176" i="46"/>
  <c r="AO175" i="46"/>
  <c r="AU175" i="46"/>
  <c r="AT175" i="46"/>
  <c r="AS175" i="46"/>
  <c r="AR175" i="46"/>
  <c r="AQ175" i="46"/>
  <c r="AP175" i="46"/>
  <c r="AS174" i="46"/>
  <c r="AY174" i="46"/>
  <c r="AX174" i="46"/>
  <c r="AW174" i="46"/>
  <c r="AV174" i="46"/>
  <c r="AU174" i="46"/>
  <c r="AR174" i="46"/>
  <c r="AQ174" i="46"/>
  <c r="AP174" i="46"/>
  <c r="AZ173" i="46"/>
  <c r="AP173" i="46"/>
  <c r="AN173" i="46"/>
  <c r="AQ172" i="46"/>
  <c r="AX172" i="46"/>
  <c r="AW172" i="46"/>
  <c r="AV172" i="46"/>
  <c r="AU172" i="46"/>
  <c r="AS172" i="46"/>
  <c r="AR172" i="46"/>
  <c r="AP172" i="46"/>
  <c r="AO172" i="46"/>
  <c r="AN172" i="46"/>
  <c r="AZ171" i="46"/>
  <c r="AY171" i="46"/>
  <c r="AX171" i="46"/>
  <c r="AN171" i="46"/>
  <c r="AO170" i="46"/>
  <c r="AS170" i="46"/>
  <c r="AR170" i="46"/>
  <c r="AQ170" i="46"/>
  <c r="AP170" i="46"/>
  <c r="AM168" i="46"/>
  <c r="AR168" i="46"/>
  <c r="AQ168" i="46"/>
  <c r="AP168" i="46"/>
  <c r="AO168" i="46"/>
  <c r="AN168" i="46"/>
  <c r="AS167" i="46"/>
  <c r="AY167" i="46"/>
  <c r="AX167" i="46"/>
  <c r="AW167" i="46"/>
  <c r="AV167" i="46"/>
  <c r="AU167" i="46"/>
  <c r="AR167" i="46"/>
  <c r="AQ167" i="46"/>
  <c r="AP167" i="46"/>
  <c r="AZ166" i="46"/>
  <c r="AP166" i="46"/>
  <c r="AO166" i="46"/>
  <c r="AN166" i="46"/>
  <c r="AM166" i="46"/>
  <c r="AQ165" i="46"/>
  <c r="AX165" i="46"/>
  <c r="AW165" i="46"/>
  <c r="AV165" i="46"/>
  <c r="AU165" i="46"/>
  <c r="AS165" i="46"/>
  <c r="AR165" i="46"/>
  <c r="AP165" i="46"/>
  <c r="AO165" i="46"/>
  <c r="AN165" i="46"/>
  <c r="AO163" i="46"/>
  <c r="AS163" i="46"/>
  <c r="AR163" i="46"/>
  <c r="AQ163" i="46"/>
  <c r="AP163" i="46"/>
  <c r="AZ162" i="46"/>
  <c r="AY162" i="46"/>
  <c r="AM161" i="46"/>
  <c r="AR161" i="46"/>
  <c r="AQ161" i="46"/>
  <c r="AP161" i="46"/>
  <c r="AO161" i="46"/>
  <c r="AN161" i="46"/>
  <c r="AS160" i="46"/>
  <c r="AY160" i="46"/>
  <c r="AX160" i="46"/>
  <c r="AW160" i="46"/>
  <c r="AV160" i="46"/>
  <c r="AU160" i="46"/>
  <c r="AR160" i="46"/>
  <c r="AQ160" i="46"/>
  <c r="AP160" i="46"/>
  <c r="AN159" i="46"/>
  <c r="AM159" i="46"/>
  <c r="AM158" i="46"/>
  <c r="AX158" i="46"/>
  <c r="AW158" i="46"/>
  <c r="AV158" i="46"/>
  <c r="AU158" i="46"/>
  <c r="AS158" i="46"/>
  <c r="AR158" i="46"/>
  <c r="AQ158" i="46"/>
  <c r="AP158" i="46"/>
  <c r="AO158" i="46"/>
  <c r="AN158" i="46"/>
  <c r="AT158" i="46" s="1"/>
  <c r="AO156" i="46"/>
  <c r="AS156" i="46"/>
  <c r="AR156" i="46"/>
  <c r="AQ156" i="46"/>
  <c r="AP156" i="46"/>
  <c r="AZ155" i="46"/>
  <c r="AY155" i="46"/>
  <c r="AX155" i="46"/>
  <c r="AW155" i="46"/>
  <c r="AM154" i="46"/>
  <c r="AX154" i="46"/>
  <c r="AR154" i="46"/>
  <c r="AQ154" i="46"/>
  <c r="AP154" i="46"/>
  <c r="AO154" i="46"/>
  <c r="AN154" i="46"/>
  <c r="AS153" i="46"/>
  <c r="AY153" i="46"/>
  <c r="AX153" i="46"/>
  <c r="AW153" i="46"/>
  <c r="AV153" i="46"/>
  <c r="AU153" i="46"/>
  <c r="AT153" i="46"/>
  <c r="AR153" i="46"/>
  <c r="AQ153" i="46"/>
  <c r="AP153" i="46"/>
  <c r="AO151" i="46"/>
  <c r="AT151" i="46"/>
  <c r="AS151" i="46"/>
  <c r="AR151" i="46"/>
  <c r="AQ151" i="46"/>
  <c r="AP151" i="46"/>
  <c r="AT150" i="46"/>
  <c r="AY150" i="46"/>
  <c r="AX150" i="46"/>
  <c r="AW150" i="46"/>
  <c r="AV150" i="46"/>
  <c r="AU150" i="46"/>
  <c r="AS150" i="46"/>
  <c r="AQ150" i="46"/>
  <c r="AN149" i="46"/>
  <c r="AM149" i="46"/>
  <c r="AZ148" i="46"/>
  <c r="BA148" i="46"/>
  <c r="AY148" i="46"/>
  <c r="AX148" i="46"/>
  <c r="AW148" i="46"/>
  <c r="AV148" i="46"/>
  <c r="AU148" i="46"/>
  <c r="AT148" i="46"/>
  <c r="AS148" i="46"/>
  <c r="AR148" i="46"/>
  <c r="AQ148" i="46"/>
  <c r="AP148" i="46"/>
  <c r="AO148" i="46"/>
  <c r="AN148" i="46"/>
  <c r="AM148" i="46"/>
  <c r="AT147" i="46"/>
  <c r="AY147" i="46"/>
  <c r="AX147" i="46"/>
  <c r="AW147" i="46"/>
  <c r="AV147" i="46"/>
  <c r="AU147" i="46"/>
  <c r="AS147" i="46"/>
  <c r="AQ147" i="46"/>
  <c r="AN145" i="46"/>
  <c r="AY145" i="46"/>
  <c r="AS145" i="46"/>
  <c r="AR145" i="46"/>
  <c r="AQ145" i="46"/>
  <c r="AP145" i="46"/>
  <c r="AO145" i="46"/>
  <c r="AM145" i="46"/>
  <c r="AZ143" i="46"/>
  <c r="AY143" i="46"/>
  <c r="AX143" i="46"/>
  <c r="AV143" i="46"/>
  <c r="AM142" i="46"/>
  <c r="AR142" i="46"/>
  <c r="AQ142" i="46"/>
  <c r="AP142" i="46"/>
  <c r="AO142" i="46"/>
  <c r="AN142" i="46"/>
  <c r="AS141" i="46"/>
  <c r="AY141" i="46"/>
  <c r="AX141" i="46"/>
  <c r="AW141" i="46"/>
  <c r="AV141" i="46"/>
  <c r="AU141" i="46"/>
  <c r="AR141" i="46"/>
  <c r="AP141" i="46"/>
  <c r="AQ139" i="46"/>
  <c r="AX139" i="46"/>
  <c r="AW139" i="46"/>
  <c r="AV139" i="46"/>
  <c r="AU139" i="46"/>
  <c r="AS139" i="46"/>
  <c r="AR139" i="46"/>
  <c r="AP139" i="46"/>
  <c r="AO139" i="46"/>
  <c r="AN139" i="46"/>
  <c r="AO137" i="46"/>
  <c r="AS137" i="46"/>
  <c r="AR137" i="46"/>
  <c r="AQ137" i="46"/>
  <c r="AP137" i="46"/>
  <c r="AM135" i="46"/>
  <c r="AX135" i="46"/>
  <c r="AR135" i="46"/>
  <c r="AQ135" i="46"/>
  <c r="AP135" i="46"/>
  <c r="AO135" i="46"/>
  <c r="AN135" i="46"/>
  <c r="AS134" i="46"/>
  <c r="AX134" i="46"/>
  <c r="AW134" i="46"/>
  <c r="AV134" i="46"/>
  <c r="AU134" i="46"/>
  <c r="AR134" i="46"/>
  <c r="AP134" i="46"/>
  <c r="AQ132" i="46"/>
  <c r="AX132" i="46"/>
  <c r="AW132" i="46"/>
  <c r="AV132" i="46"/>
  <c r="AU132" i="46"/>
  <c r="AS132" i="46"/>
  <c r="AR132" i="46"/>
  <c r="AP132" i="46"/>
  <c r="AO132" i="46"/>
  <c r="AN132" i="46"/>
  <c r="AZ131" i="46"/>
  <c r="AY131" i="46"/>
  <c r="AX131" i="46"/>
  <c r="AZ130" i="46"/>
  <c r="AS130" i="46"/>
  <c r="AR130" i="46"/>
  <c r="AQ130" i="46"/>
  <c r="AP130" i="46"/>
  <c r="AS127" i="46"/>
  <c r="AX127" i="46"/>
  <c r="AW127" i="46"/>
  <c r="AV127" i="46"/>
  <c r="AU127" i="46"/>
  <c r="AR127" i="46"/>
  <c r="AP127" i="46"/>
  <c r="AQ125" i="46"/>
  <c r="AX125" i="46"/>
  <c r="AV125" i="46"/>
  <c r="AU125" i="46"/>
  <c r="AS125" i="46"/>
  <c r="AR125" i="46"/>
  <c r="AP125" i="46"/>
  <c r="AO125" i="46"/>
  <c r="AN125" i="46"/>
  <c r="AZ122" i="46"/>
  <c r="AW122" i="46"/>
  <c r="AU122" i="46"/>
  <c r="AS122" i="46"/>
  <c r="AR122" i="46"/>
  <c r="AP122" i="46"/>
  <c r="AO122" i="46"/>
  <c r="AN122" i="46"/>
  <c r="AS121" i="46"/>
  <c r="AY121" i="46"/>
  <c r="AX121" i="46"/>
  <c r="AW121" i="46"/>
  <c r="AV121" i="46"/>
  <c r="AU121" i="46"/>
  <c r="AR121" i="46"/>
  <c r="AY120" i="46"/>
  <c r="AZ120" i="46"/>
  <c r="AX120" i="46"/>
  <c r="AW120" i="46"/>
  <c r="AN120" i="46"/>
  <c r="AM120" i="46"/>
  <c r="AN119" i="46"/>
  <c r="AU119" i="46"/>
  <c r="AS119" i="46"/>
  <c r="AR119" i="46"/>
  <c r="AQ119" i="46"/>
  <c r="AP119" i="46"/>
  <c r="AO119" i="46"/>
  <c r="AZ117" i="46"/>
  <c r="AW117" i="46"/>
  <c r="AS117" i="46"/>
  <c r="AR117" i="46"/>
  <c r="AQ117" i="46"/>
  <c r="AP117" i="46"/>
  <c r="AO117" i="46"/>
  <c r="AN117" i="46"/>
  <c r="AM117" i="46"/>
  <c r="AT117" i="46" s="1"/>
  <c r="AZ116" i="46"/>
  <c r="AY116" i="46"/>
  <c r="AX116" i="46"/>
  <c r="AW116" i="46"/>
  <c r="AV116" i="46"/>
  <c r="AU116" i="46"/>
  <c r="BA116" i="46" s="1"/>
  <c r="AS116" i="46"/>
  <c r="AR116" i="46"/>
  <c r="AQ116" i="46"/>
  <c r="AP116" i="46"/>
  <c r="AO116" i="46"/>
  <c r="AN116" i="46"/>
  <c r="AM116" i="46"/>
  <c r="AZ114" i="46"/>
  <c r="AY114" i="46"/>
  <c r="AW114" i="46"/>
  <c r="AV114" i="46"/>
  <c r="AU114" i="46"/>
  <c r="AS114" i="46"/>
  <c r="AR114" i="46"/>
  <c r="AQ114" i="46"/>
  <c r="AP114" i="46"/>
  <c r="AO114" i="46"/>
  <c r="AN114" i="46"/>
  <c r="AM114" i="46"/>
  <c r="AV113" i="46"/>
  <c r="AY113" i="46"/>
  <c r="AX113" i="46"/>
  <c r="AW113" i="46"/>
  <c r="AN113" i="46"/>
  <c r="AM113" i="46"/>
  <c r="AZ112" i="46"/>
  <c r="AY112" i="46"/>
  <c r="AS112" i="46"/>
  <c r="AR112" i="46"/>
  <c r="AQ112" i="46"/>
  <c r="AP112" i="46"/>
  <c r="AO112" i="46"/>
  <c r="AN112" i="46"/>
  <c r="AM112" i="46"/>
  <c r="AZ111" i="46"/>
  <c r="AU111" i="46"/>
  <c r="AZ110" i="46"/>
  <c r="AW110" i="46"/>
  <c r="AR110" i="46"/>
  <c r="AQ110" i="46"/>
  <c r="AP110" i="46"/>
  <c r="AO110" i="46"/>
  <c r="AN110" i="46"/>
  <c r="AM110" i="46"/>
  <c r="AZ109" i="46"/>
  <c r="AX109" i="46"/>
  <c r="AW109" i="46"/>
  <c r="AV109" i="46"/>
  <c r="AU109" i="46"/>
  <c r="AS109" i="46"/>
  <c r="AR109" i="46"/>
  <c r="AQ109" i="46"/>
  <c r="AP109" i="46"/>
  <c r="AO109" i="46"/>
  <c r="AN109" i="46"/>
  <c r="AM109" i="46"/>
  <c r="AZ108" i="46"/>
  <c r="AY108" i="46"/>
  <c r="AN107" i="46"/>
  <c r="AV107" i="46"/>
  <c r="AU107" i="46"/>
  <c r="AS107" i="46"/>
  <c r="AR107" i="46"/>
  <c r="AQ107" i="46"/>
  <c r="AP107" i="46"/>
  <c r="AO107" i="46"/>
  <c r="AM107" i="46"/>
  <c r="AV106" i="46"/>
  <c r="AY106" i="46"/>
  <c r="AX106" i="46"/>
  <c r="AW106" i="46"/>
  <c r="AN106" i="46"/>
  <c r="AM106" i="46"/>
  <c r="AN105" i="46"/>
  <c r="AY105" i="46"/>
  <c r="AS105" i="46"/>
  <c r="AR105" i="46"/>
  <c r="AQ105" i="46"/>
  <c r="AP105" i="46"/>
  <c r="AO105" i="46"/>
  <c r="AM105" i="46"/>
  <c r="AT105" i="46" s="1"/>
  <c r="AZ103" i="46"/>
  <c r="AY103" i="46"/>
  <c r="AW103" i="46"/>
  <c r="AR103" i="46"/>
  <c r="AQ103" i="46"/>
  <c r="AP103" i="46"/>
  <c r="AO103" i="46"/>
  <c r="AN103" i="46"/>
  <c r="AM103" i="46"/>
  <c r="AZ102" i="46"/>
  <c r="AX102" i="46"/>
  <c r="AW102" i="46"/>
  <c r="AV102" i="46"/>
  <c r="AU102" i="46"/>
  <c r="AS102" i="46"/>
  <c r="AR102" i="46"/>
  <c r="AQ102" i="46"/>
  <c r="AP102" i="46"/>
  <c r="AO102" i="46"/>
  <c r="AN102" i="46"/>
  <c r="AM102" i="46"/>
  <c r="AT102" i="46" s="1"/>
  <c r="AP100" i="46"/>
  <c r="AV100" i="46"/>
  <c r="AU100" i="46"/>
  <c r="AS100" i="46"/>
  <c r="AR100" i="46"/>
  <c r="AQ100" i="46"/>
  <c r="AO100" i="46"/>
  <c r="AM100" i="46"/>
  <c r="AV99" i="46"/>
  <c r="AY99" i="46"/>
  <c r="AX99" i="46"/>
  <c r="AW99" i="46"/>
  <c r="AN99" i="46"/>
  <c r="AM99" i="46"/>
  <c r="AZ98" i="46"/>
  <c r="AY98" i="46"/>
  <c r="AS98" i="46"/>
  <c r="AR98" i="46"/>
  <c r="AQ98" i="46"/>
  <c r="AP98" i="46"/>
  <c r="AO98" i="46"/>
  <c r="AN98" i="46"/>
  <c r="AM98" i="46"/>
  <c r="AZ96" i="46"/>
  <c r="AY96" i="46"/>
  <c r="AW96" i="46"/>
  <c r="AR96" i="46"/>
  <c r="AQ96" i="46"/>
  <c r="AP96" i="46"/>
  <c r="AO96" i="46"/>
  <c r="AN96" i="46"/>
  <c r="AM96" i="46"/>
  <c r="AZ95" i="46"/>
  <c r="AX95" i="46"/>
  <c r="AW95" i="46"/>
  <c r="AV95" i="46"/>
  <c r="AU95" i="46"/>
  <c r="AS95" i="46"/>
  <c r="AR95" i="46"/>
  <c r="AQ95" i="46"/>
  <c r="AP95" i="46"/>
  <c r="AO95" i="46"/>
  <c r="AN95" i="46"/>
  <c r="AM95" i="46"/>
  <c r="AZ94" i="46"/>
  <c r="AY94" i="46"/>
  <c r="AS94" i="46"/>
  <c r="AP94" i="46"/>
  <c r="AO94" i="46"/>
  <c r="AM94" i="46"/>
  <c r="AP93" i="46"/>
  <c r="AY93" i="46"/>
  <c r="AV93" i="46"/>
  <c r="AU93" i="46"/>
  <c r="AS93" i="46"/>
  <c r="AR93" i="46"/>
  <c r="AQ93" i="46"/>
  <c r="AO93" i="46"/>
  <c r="AM93" i="46"/>
  <c r="AV92" i="46"/>
  <c r="AY92" i="46"/>
  <c r="AX92" i="46"/>
  <c r="AW92" i="46"/>
  <c r="AQ92" i="46"/>
  <c r="AN92" i="46"/>
  <c r="AM92" i="46"/>
  <c r="AZ91" i="46"/>
  <c r="AY91" i="46"/>
  <c r="AX91" i="46"/>
  <c r="AW91" i="46"/>
  <c r="AS91" i="46"/>
  <c r="AR91" i="46"/>
  <c r="AQ91" i="46"/>
  <c r="AP91" i="46"/>
  <c r="AO91" i="46"/>
  <c r="AN91" i="46"/>
  <c r="AM91" i="46"/>
  <c r="AZ89" i="46"/>
  <c r="AY89" i="46"/>
  <c r="AW89" i="46"/>
  <c r="AU89" i="46"/>
  <c r="AR89" i="46"/>
  <c r="AQ89" i="46"/>
  <c r="AP89" i="46"/>
  <c r="AO89" i="46"/>
  <c r="AN89" i="46"/>
  <c r="AM89" i="46"/>
  <c r="AZ88" i="46"/>
  <c r="AX88" i="46"/>
  <c r="AW88" i="46"/>
  <c r="AV88" i="46"/>
  <c r="AU88" i="46"/>
  <c r="AS88" i="46"/>
  <c r="AR88" i="46"/>
  <c r="AQ88" i="46"/>
  <c r="AP88" i="46"/>
  <c r="AO88" i="46"/>
  <c r="AN88" i="46"/>
  <c r="AM88" i="46"/>
  <c r="AZ87" i="46"/>
  <c r="AY87" i="46"/>
  <c r="AS87" i="46"/>
  <c r="AP87" i="46"/>
  <c r="AO87" i="46"/>
  <c r="AN87" i="46"/>
  <c r="AM87" i="46"/>
  <c r="AP86" i="46"/>
  <c r="AY86" i="46"/>
  <c r="AV86" i="46"/>
  <c r="AU86" i="46"/>
  <c r="AS86" i="46"/>
  <c r="AR86" i="46"/>
  <c r="AQ86" i="46"/>
  <c r="AO86" i="46"/>
  <c r="AM86" i="46"/>
  <c r="AZ84" i="46"/>
  <c r="AY84" i="46"/>
  <c r="AX84" i="46"/>
  <c r="AW84" i="46"/>
  <c r="AS84" i="46"/>
  <c r="AR84" i="46"/>
  <c r="AQ84" i="46"/>
  <c r="AP84" i="46"/>
  <c r="AO84" i="46"/>
  <c r="AN84" i="46"/>
  <c r="AM84" i="46"/>
  <c r="AZ82" i="46"/>
  <c r="AY82" i="46"/>
  <c r="AW82" i="46"/>
  <c r="AU82" i="46"/>
  <c r="AR82" i="46"/>
  <c r="AQ82" i="46"/>
  <c r="AP82" i="46"/>
  <c r="AO82" i="46"/>
  <c r="AN82" i="46"/>
  <c r="AM82" i="46"/>
  <c r="AZ81" i="46"/>
  <c r="AX81" i="46"/>
  <c r="AW81" i="46"/>
  <c r="AV81" i="46"/>
  <c r="AU81" i="46"/>
  <c r="AS81" i="46"/>
  <c r="AR81" i="46"/>
  <c r="AQ81" i="46"/>
  <c r="AP81" i="46"/>
  <c r="AO81" i="46"/>
  <c r="AN81" i="46"/>
  <c r="AM81" i="46"/>
  <c r="AT81" i="46" s="1"/>
  <c r="AZ80" i="46"/>
  <c r="AY80" i="46"/>
  <c r="AS80" i="46"/>
  <c r="AP80" i="46"/>
  <c r="AP79" i="46"/>
  <c r="AY79" i="46"/>
  <c r="AV79" i="46"/>
  <c r="AU79" i="46"/>
  <c r="AS79" i="46"/>
  <c r="AR79" i="46"/>
  <c r="AQ79" i="46"/>
  <c r="AM79" i="46"/>
  <c r="AZ78" i="46"/>
  <c r="AY78" i="46"/>
  <c r="AX78" i="46"/>
  <c r="AW78" i="46"/>
  <c r="AQ78" i="46"/>
  <c r="AN78" i="46"/>
  <c r="AZ77" i="46"/>
  <c r="AY77" i="46"/>
  <c r="AX77" i="46"/>
  <c r="AW77" i="46"/>
  <c r="AS77" i="46"/>
  <c r="AR77" i="46"/>
  <c r="AQ77" i="46"/>
  <c r="AP77" i="46"/>
  <c r="AO77" i="46"/>
  <c r="AN77" i="46"/>
  <c r="AM77" i="46"/>
  <c r="AZ76" i="46"/>
  <c r="AY76" i="46"/>
  <c r="AX76" i="46"/>
  <c r="AW76" i="46"/>
  <c r="AV76" i="46"/>
  <c r="AU76" i="46"/>
  <c r="BA76" i="46" s="1"/>
  <c r="AZ75" i="46"/>
  <c r="AW75" i="46"/>
  <c r="AU75" i="46"/>
  <c r="AR75" i="46"/>
  <c r="AQ75" i="46"/>
  <c r="AP75" i="46"/>
  <c r="AO75" i="46"/>
  <c r="AN75" i="46"/>
  <c r="AM75" i="46"/>
  <c r="AP74" i="46"/>
  <c r="AX74" i="46"/>
  <c r="AW74" i="46"/>
  <c r="AV74" i="46"/>
  <c r="AU74" i="46"/>
  <c r="AS74" i="46"/>
  <c r="AR74" i="46"/>
  <c r="AQ74" i="46"/>
  <c r="AO74" i="46"/>
  <c r="AN74" i="46"/>
  <c r="AM74" i="46"/>
  <c r="AZ73" i="46"/>
  <c r="AY73" i="46"/>
  <c r="AX73" i="46"/>
  <c r="AW73" i="46"/>
  <c r="AM72" i="46"/>
  <c r="AZ72" i="46"/>
  <c r="AY70" i="46"/>
  <c r="AX70" i="46"/>
  <c r="AW70" i="46"/>
  <c r="AS70" i="46"/>
  <c r="AR70" i="46"/>
  <c r="AQ70" i="46"/>
  <c r="AP70" i="46"/>
  <c r="AO70" i="46"/>
  <c r="AM69" i="46"/>
  <c r="AZ69" i="46"/>
  <c r="AY69" i="46"/>
  <c r="AX69" i="46"/>
  <c r="AW69" i="46"/>
  <c r="AV69" i="46"/>
  <c r="AU69" i="46"/>
  <c r="AN69" i="46"/>
  <c r="AS68" i="46"/>
  <c r="AZ68" i="46"/>
  <c r="AY68" i="46"/>
  <c r="AN68" i="46"/>
  <c r="AM68" i="46"/>
  <c r="AY67" i="46"/>
  <c r="AZ67" i="46"/>
  <c r="AW67" i="46"/>
  <c r="AV67" i="46"/>
  <c r="AU67" i="46"/>
  <c r="AS67" i="46"/>
  <c r="AR67" i="46"/>
  <c r="AQ67" i="46"/>
  <c r="AP67" i="46"/>
  <c r="AO67" i="46"/>
  <c r="AQ66" i="46"/>
  <c r="AY66" i="46"/>
  <c r="AX66" i="46"/>
  <c r="AW66" i="46"/>
  <c r="AV66" i="46"/>
  <c r="AU66" i="46"/>
  <c r="AQ64" i="46"/>
  <c r="AX64" i="46"/>
  <c r="AW64" i="46"/>
  <c r="AV64" i="46"/>
  <c r="AU64" i="46"/>
  <c r="AS64" i="46"/>
  <c r="AR64" i="46"/>
  <c r="AW63" i="46"/>
  <c r="AY63" i="46"/>
  <c r="AX63" i="46"/>
  <c r="AN63" i="46"/>
  <c r="AM63" i="46"/>
  <c r="AO62" i="46"/>
  <c r="AX62" i="46"/>
  <c r="AW62" i="46"/>
  <c r="AV62" i="46"/>
  <c r="AU62" i="46"/>
  <c r="AS62" i="46"/>
  <c r="AR62" i="46"/>
  <c r="AQ62" i="46"/>
  <c r="AP62" i="46"/>
  <c r="AU61" i="46"/>
  <c r="AY61" i="46"/>
  <c r="AW61" i="46"/>
  <c r="AV61" i="46"/>
  <c r="AN57" i="46"/>
  <c r="AY57" i="46"/>
  <c r="AW57" i="46"/>
  <c r="AV57" i="46"/>
  <c r="AU57" i="46"/>
  <c r="AS57" i="46"/>
  <c r="AR57" i="46"/>
  <c r="AQ57" i="46"/>
  <c r="AP57" i="46"/>
  <c r="AO57" i="46"/>
  <c r="AR56" i="46"/>
  <c r="AY56" i="46"/>
  <c r="AX56" i="46"/>
  <c r="AW56" i="46"/>
  <c r="AV56" i="46"/>
  <c r="AU56" i="46"/>
  <c r="AS56" i="46"/>
  <c r="AM56" i="46"/>
  <c r="AV55" i="46"/>
  <c r="AW55" i="46"/>
  <c r="AZ54" i="46"/>
  <c r="AY54" i="46"/>
  <c r="AX54" i="46"/>
  <c r="AW54" i="46"/>
  <c r="AV54" i="46"/>
  <c r="AU54" i="46"/>
  <c r="BA54" i="46" s="1"/>
  <c r="AS54" i="46"/>
  <c r="AR54" i="46"/>
  <c r="AQ54" i="46"/>
  <c r="AP54" i="46"/>
  <c r="AO54" i="46"/>
  <c r="AN54" i="46"/>
  <c r="AM54" i="46"/>
  <c r="AT54" i="46" s="1"/>
  <c r="AP53" i="46"/>
  <c r="AY53" i="46"/>
  <c r="AX53" i="46"/>
  <c r="AW53" i="46"/>
  <c r="AV53" i="46"/>
  <c r="AU53" i="46"/>
  <c r="AS53" i="46"/>
  <c r="AR53" i="46"/>
  <c r="AQ53" i="46"/>
  <c r="AM53" i="46"/>
  <c r="AS52" i="46"/>
  <c r="AY52" i="46"/>
  <c r="AX52" i="46"/>
  <c r="AW52" i="46"/>
  <c r="AV52" i="46"/>
  <c r="AU52" i="46"/>
  <c r="AO52" i="46"/>
  <c r="AM52" i="46"/>
  <c r="AX51" i="46"/>
  <c r="AY51" i="46"/>
  <c r="AN51" i="46"/>
  <c r="AN50" i="46"/>
  <c r="AY50" i="46"/>
  <c r="AW50" i="46"/>
  <c r="AV50" i="46"/>
  <c r="AU50" i="46"/>
  <c r="AS50" i="46"/>
  <c r="AR50" i="46"/>
  <c r="AQ50" i="46"/>
  <c r="AP50" i="46"/>
  <c r="AO50" i="46"/>
  <c r="AR49" i="46"/>
  <c r="AY49" i="46"/>
  <c r="AX49" i="46"/>
  <c r="AW49" i="46"/>
  <c r="AV49" i="46"/>
  <c r="AU49" i="46"/>
  <c r="AS49" i="46"/>
  <c r="AM49" i="46"/>
  <c r="AV48" i="46"/>
  <c r="AW48" i="46"/>
  <c r="AZ47" i="46"/>
  <c r="AX47" i="46"/>
  <c r="AW47" i="46"/>
  <c r="AV47" i="46"/>
  <c r="AU47" i="46"/>
  <c r="AS47" i="46"/>
  <c r="AR47" i="46"/>
  <c r="AQ47" i="46"/>
  <c r="AP47" i="46"/>
  <c r="AO47" i="46"/>
  <c r="AN47" i="46"/>
  <c r="AM47" i="46"/>
  <c r="AT47" i="46" s="1"/>
  <c r="AP46" i="46"/>
  <c r="AY46" i="46"/>
  <c r="AX46" i="46"/>
  <c r="AW46" i="46"/>
  <c r="AV46" i="46"/>
  <c r="AU46" i="46"/>
  <c r="AS46" i="46"/>
  <c r="AR46" i="46"/>
  <c r="AQ46" i="46"/>
  <c r="AM46" i="46"/>
  <c r="AS45" i="46"/>
  <c r="AY45" i="46"/>
  <c r="AX45" i="46"/>
  <c r="AW45" i="46"/>
  <c r="AV45" i="46"/>
  <c r="AU45" i="46"/>
  <c r="AO45" i="46"/>
  <c r="AM45" i="46"/>
  <c r="AX44" i="46"/>
  <c r="AY44" i="46"/>
  <c r="AN44" i="46"/>
  <c r="AN43" i="46"/>
  <c r="AY43" i="46"/>
  <c r="AW43" i="46"/>
  <c r="AV43" i="46"/>
  <c r="AU43" i="46"/>
  <c r="AS43" i="46"/>
  <c r="AR43" i="46"/>
  <c r="AQ43" i="46"/>
  <c r="AP43" i="46"/>
  <c r="AO43" i="46"/>
  <c r="AR42" i="46"/>
  <c r="AY42" i="46"/>
  <c r="AX42" i="46"/>
  <c r="AW42" i="46"/>
  <c r="AV42" i="46"/>
  <c r="AU42" i="46"/>
  <c r="AS42" i="46"/>
  <c r="AM42" i="46"/>
  <c r="AV41" i="46"/>
  <c r="AW41" i="46"/>
  <c r="AZ40" i="46"/>
  <c r="AX40" i="46"/>
  <c r="AW40" i="46"/>
  <c r="AV40" i="46"/>
  <c r="AU40" i="46"/>
  <c r="AS40" i="46"/>
  <c r="AR40" i="46"/>
  <c r="AQ40" i="46"/>
  <c r="AP40" i="46"/>
  <c r="AO40" i="46"/>
  <c r="AN40" i="46"/>
  <c r="AM40" i="46"/>
  <c r="AT40" i="46" s="1"/>
  <c r="AP39" i="46"/>
  <c r="AY39" i="46"/>
  <c r="AX39" i="46"/>
  <c r="AW39" i="46"/>
  <c r="AV39" i="46"/>
  <c r="AU39" i="46"/>
  <c r="AS39" i="46"/>
  <c r="AR39" i="46"/>
  <c r="AQ39" i="46"/>
  <c r="AN39" i="46"/>
  <c r="AM39" i="46"/>
  <c r="AS38" i="46"/>
  <c r="AY38" i="46"/>
  <c r="AX38" i="46"/>
  <c r="AW38" i="46"/>
  <c r="AV38" i="46"/>
  <c r="AU38" i="46"/>
  <c r="AO38" i="46"/>
  <c r="AM38" i="46"/>
  <c r="AX37" i="46"/>
  <c r="AY37" i="46"/>
  <c r="AN37" i="46"/>
  <c r="AN36" i="46"/>
  <c r="AY36" i="46"/>
  <c r="AW36" i="46"/>
  <c r="AV36" i="46"/>
  <c r="AU36" i="46"/>
  <c r="AS36" i="46"/>
  <c r="AR36" i="46"/>
  <c r="AQ36" i="46"/>
  <c r="AP36" i="46"/>
  <c r="AO36" i="46"/>
  <c r="AR35" i="46"/>
  <c r="AY35" i="46"/>
  <c r="AX35" i="46"/>
  <c r="AW35" i="46"/>
  <c r="AV35" i="46"/>
  <c r="AU35" i="46"/>
  <c r="AS35" i="46"/>
  <c r="AM35" i="46"/>
  <c r="AV34" i="46"/>
  <c r="AW34" i="46"/>
  <c r="AZ33" i="46"/>
  <c r="AW33" i="46"/>
  <c r="AU33" i="46"/>
  <c r="AS33" i="46"/>
  <c r="AR33" i="46"/>
  <c r="AQ33" i="46"/>
  <c r="AP33" i="46"/>
  <c r="AO33" i="46"/>
  <c r="AN33" i="46"/>
  <c r="AM33" i="46"/>
  <c r="AT33" i="46" s="1"/>
  <c r="AP32" i="46"/>
  <c r="AY32" i="46"/>
  <c r="AX32" i="46"/>
  <c r="AW32" i="46"/>
  <c r="AV32" i="46"/>
  <c r="AU32" i="46"/>
  <c r="AS32" i="46"/>
  <c r="AR32" i="46"/>
  <c r="AQ32" i="46"/>
  <c r="AO32" i="46"/>
  <c r="AN32" i="46"/>
  <c r="AM32" i="46"/>
  <c r="AT32" i="46" s="1"/>
  <c r="AS31" i="46"/>
  <c r="AY31" i="46"/>
  <c r="AX31" i="46"/>
  <c r="AW31" i="46"/>
  <c r="AV31" i="46"/>
  <c r="AU31" i="46"/>
  <c r="AO31" i="46"/>
  <c r="AM31" i="46"/>
  <c r="AX30" i="46"/>
  <c r="AY30" i="46"/>
  <c r="AN30" i="46"/>
  <c r="AZ29" i="46"/>
  <c r="AY29" i="46"/>
  <c r="AW29" i="46"/>
  <c r="AV29" i="46"/>
  <c r="AU29" i="46"/>
  <c r="AS29" i="46"/>
  <c r="AR29" i="46"/>
  <c r="AQ29" i="46"/>
  <c r="AP29" i="46"/>
  <c r="AO29" i="46"/>
  <c r="AN29" i="46"/>
  <c r="AM29" i="46"/>
  <c r="AR28" i="46"/>
  <c r="AY28" i="46"/>
  <c r="AX28" i="46"/>
  <c r="AW28" i="46"/>
  <c r="AV28" i="46"/>
  <c r="AU28" i="46"/>
  <c r="AS28" i="46"/>
  <c r="AM28" i="46"/>
  <c r="AV27" i="46"/>
  <c r="AZ27" i="46"/>
  <c r="AW27" i="46"/>
  <c r="AZ26" i="46"/>
  <c r="AW26" i="46"/>
  <c r="AU26" i="46"/>
  <c r="AS26" i="46"/>
  <c r="AR26" i="46"/>
  <c r="AQ26" i="46"/>
  <c r="AP26" i="46"/>
  <c r="AO26" i="46"/>
  <c r="AN26" i="46"/>
  <c r="AM26" i="46"/>
  <c r="AT26" i="46" s="1"/>
  <c r="AZ25" i="46"/>
  <c r="AY25" i="46"/>
  <c r="AX25" i="46"/>
  <c r="AW25" i="46"/>
  <c r="AV25" i="46"/>
  <c r="AU25" i="46"/>
  <c r="AS25" i="46"/>
  <c r="AR25" i="46"/>
  <c r="AQ25" i="46"/>
  <c r="AP25" i="46"/>
  <c r="AO25" i="46"/>
  <c r="AN25" i="46"/>
  <c r="AM25" i="46"/>
  <c r="AS24" i="46"/>
  <c r="AY24" i="46"/>
  <c r="AX24" i="46"/>
  <c r="AW24" i="46"/>
  <c r="AV24" i="46"/>
  <c r="AU24" i="46"/>
  <c r="AO24" i="46"/>
  <c r="AM24" i="46"/>
  <c r="AX23" i="46"/>
  <c r="AY23" i="46"/>
  <c r="AN23" i="46"/>
  <c r="AZ22" i="46"/>
  <c r="AY22" i="46"/>
  <c r="AW22" i="46"/>
  <c r="AV22" i="46"/>
  <c r="AU22" i="46"/>
  <c r="AS22" i="46"/>
  <c r="AR22" i="46"/>
  <c r="AQ22" i="46"/>
  <c r="AP22" i="46"/>
  <c r="AO22" i="46"/>
  <c r="AN22" i="46"/>
  <c r="AM22" i="46"/>
  <c r="AR21" i="46"/>
  <c r="AY21" i="46"/>
  <c r="AX21" i="46"/>
  <c r="AW21" i="46"/>
  <c r="AV21" i="46"/>
  <c r="AU21" i="46"/>
  <c r="AS21" i="46"/>
  <c r="AM21" i="46"/>
  <c r="AV20" i="46"/>
  <c r="AW20" i="46"/>
  <c r="AZ19" i="46"/>
  <c r="AW19" i="46"/>
  <c r="AU19" i="46"/>
  <c r="AS19" i="46"/>
  <c r="AR19" i="46"/>
  <c r="AQ19" i="46"/>
  <c r="AP19" i="46"/>
  <c r="AO19" i="46"/>
  <c r="AN19" i="46"/>
  <c r="AM19" i="46"/>
  <c r="AT19" i="46" s="1"/>
  <c r="AZ18" i="46"/>
  <c r="AY18" i="46"/>
  <c r="AX18" i="46"/>
  <c r="AW18" i="46"/>
  <c r="AV18" i="46"/>
  <c r="AU18" i="46"/>
  <c r="AS18" i="46"/>
  <c r="AR18" i="46"/>
  <c r="AQ18" i="46"/>
  <c r="AP18" i="46"/>
  <c r="AO18" i="46"/>
  <c r="AN18" i="46"/>
  <c r="AM18" i="46"/>
  <c r="AS17" i="46"/>
  <c r="AY17" i="46"/>
  <c r="AX17" i="46"/>
  <c r="AW17" i="46"/>
  <c r="AV17" i="46"/>
  <c r="AU17" i="46"/>
  <c r="AO17" i="46"/>
  <c r="AM17" i="46"/>
  <c r="AX16" i="46"/>
  <c r="AY16" i="46"/>
  <c r="AN16" i="46"/>
  <c r="AZ15" i="46"/>
  <c r="AY15" i="46"/>
  <c r="AW15" i="46"/>
  <c r="AV15" i="46"/>
  <c r="AU15" i="46"/>
  <c r="AS15" i="46"/>
  <c r="AR15" i="46"/>
  <c r="AQ15" i="46"/>
  <c r="AP15" i="46"/>
  <c r="AO15" i="46"/>
  <c r="AN15" i="46"/>
  <c r="AM15" i="46"/>
  <c r="AR14" i="46"/>
  <c r="AY14" i="46"/>
  <c r="AX14" i="46"/>
  <c r="AW14" i="46"/>
  <c r="AV14" i="46"/>
  <c r="AU14" i="46"/>
  <c r="AS14" i="46"/>
  <c r="AM14" i="46"/>
  <c r="BA18" i="46"/>
  <c r="BA25" i="46"/>
  <c r="AZ65" i="46"/>
  <c r="AZ16" i="46"/>
  <c r="AX20" i="46"/>
  <c r="AZ23" i="46"/>
  <c r="AX27" i="46"/>
  <c r="AZ30" i="46"/>
  <c r="AX34" i="46"/>
  <c r="AZ37" i="46"/>
  <c r="AX41" i="46"/>
  <c r="AZ44" i="46"/>
  <c r="AX48" i="46"/>
  <c r="AZ51" i="46"/>
  <c r="AX55" i="46"/>
  <c r="AM65" i="46"/>
  <c r="BA69" i="46"/>
  <c r="AM71" i="46"/>
  <c r="AO83" i="46"/>
  <c r="AM85" i="46"/>
  <c r="AU97" i="46"/>
  <c r="AM16" i="46"/>
  <c r="AY20" i="46"/>
  <c r="AM23" i="46"/>
  <c r="AY27" i="46"/>
  <c r="AM30" i="46"/>
  <c r="AY34" i="46"/>
  <c r="AM37" i="46"/>
  <c r="AY41" i="46"/>
  <c r="AM44" i="46"/>
  <c r="AY48" i="46"/>
  <c r="AM51" i="46"/>
  <c r="AY55" i="46"/>
  <c r="AX61" i="46"/>
  <c r="AZ63" i="46"/>
  <c r="AN65" i="46"/>
  <c r="AN71" i="46"/>
  <c r="AU83" i="46"/>
  <c r="AN85" i="46"/>
  <c r="AV97" i="46"/>
  <c r="AO16" i="46"/>
  <c r="AM20" i="46"/>
  <c r="AO23" i="46"/>
  <c r="AM27" i="46"/>
  <c r="AO30" i="46"/>
  <c r="AM34" i="46"/>
  <c r="AO37" i="46"/>
  <c r="AM41" i="46"/>
  <c r="AO44" i="46"/>
  <c r="AM48" i="46"/>
  <c r="AO51" i="46"/>
  <c r="AM55" i="46"/>
  <c r="AZ61" i="46"/>
  <c r="AP65" i="46"/>
  <c r="AR71" i="46"/>
  <c r="AW85" i="46"/>
  <c r="AY97" i="46"/>
  <c r="AM115" i="46"/>
  <c r="AU118" i="46"/>
  <c r="AS83" i="46"/>
  <c r="AR83" i="46"/>
  <c r="AQ83" i="46"/>
  <c r="AP83" i="46"/>
  <c r="AN83" i="46"/>
  <c r="AM83" i="46"/>
  <c r="AZ34" i="46"/>
  <c r="AZ41" i="46"/>
  <c r="AZ48" i="46"/>
  <c r="AN72" i="46"/>
  <c r="AX72" i="46"/>
  <c r="AW72" i="46"/>
  <c r="AV83" i="46"/>
  <c r="AQ85" i="46"/>
  <c r="AS90" i="46"/>
  <c r="AR90" i="46"/>
  <c r="AQ90" i="46"/>
  <c r="AP90" i="46"/>
  <c r="AN90" i="46"/>
  <c r="AM90" i="46"/>
  <c r="AT90" i="46" s="1"/>
  <c r="AX90" i="46"/>
  <c r="AY123" i="46"/>
  <c r="AX123" i="46"/>
  <c r="AW123" i="46"/>
  <c r="AU123" i="46"/>
  <c r="AZ123" i="46"/>
  <c r="AV123" i="46"/>
  <c r="AS123" i="46"/>
  <c r="AR123" i="46"/>
  <c r="AQ123" i="46"/>
  <c r="AP123" i="46"/>
  <c r="AN123" i="46"/>
  <c r="AM123" i="46"/>
  <c r="AT123" i="46" s="1"/>
  <c r="AP16" i="46"/>
  <c r="AZ17" i="46"/>
  <c r="BA17" i="46" s="1"/>
  <c r="AN20" i="46"/>
  <c r="AP23" i="46"/>
  <c r="AZ24" i="46"/>
  <c r="BA24" i="46" s="1"/>
  <c r="AN27" i="46"/>
  <c r="AP30" i="46"/>
  <c r="AZ31" i="46"/>
  <c r="BA31" i="46" s="1"/>
  <c r="AN34" i="46"/>
  <c r="AP37" i="46"/>
  <c r="AZ38" i="46"/>
  <c r="BA38" i="46" s="1"/>
  <c r="AN41" i="46"/>
  <c r="AP44" i="46"/>
  <c r="AZ45" i="46"/>
  <c r="BA45" i="46" s="1"/>
  <c r="AN48" i="46"/>
  <c r="AP51" i="46"/>
  <c r="AZ52" i="46"/>
  <c r="BA52" i="46" s="1"/>
  <c r="AN55" i="46"/>
  <c r="AM61" i="46"/>
  <c r="AO63" i="46"/>
  <c r="AQ65" i="46"/>
  <c r="AZ66" i="46"/>
  <c r="BA66" i="46" s="1"/>
  <c r="AO68" i="46"/>
  <c r="AO72" i="46"/>
  <c r="AX83" i="46"/>
  <c r="AX85" i="46"/>
  <c r="AU90" i="46"/>
  <c r="AX101" i="46"/>
  <c r="AW101" i="46"/>
  <c r="AV101" i="46"/>
  <c r="AU101" i="46"/>
  <c r="AS101" i="46"/>
  <c r="AR101" i="46"/>
  <c r="AQ101" i="46"/>
  <c r="AN101" i="46"/>
  <c r="AS104" i="46"/>
  <c r="AR104" i="46"/>
  <c r="AQ104" i="46"/>
  <c r="AP104" i="46"/>
  <c r="AO104" i="46"/>
  <c r="AN104" i="46"/>
  <c r="AM104" i="46"/>
  <c r="AX104" i="46"/>
  <c r="AP71" i="46"/>
  <c r="AO71" i="46"/>
  <c r="AS97" i="46"/>
  <c r="AR97" i="46"/>
  <c r="AQ97" i="46"/>
  <c r="AP97" i="46"/>
  <c r="AO97" i="46"/>
  <c r="AN97" i="46"/>
  <c r="AM97" i="46"/>
  <c r="AT97" i="46" s="1"/>
  <c r="AX97" i="46"/>
  <c r="AZ20" i="46"/>
  <c r="AZ55" i="46"/>
  <c r="AO65" i="46"/>
  <c r="AQ71" i="46"/>
  <c r="AW97" i="46"/>
  <c r="AX115" i="46"/>
  <c r="AW115" i="46"/>
  <c r="AV115" i="46"/>
  <c r="AU115" i="46"/>
  <c r="AS115" i="46"/>
  <c r="AR115" i="46"/>
  <c r="AQ115" i="46"/>
  <c r="AO115" i="46"/>
  <c r="AN115" i="46"/>
  <c r="AS118" i="46"/>
  <c r="AR118" i="46"/>
  <c r="AQ118" i="46"/>
  <c r="AP118" i="46"/>
  <c r="AO118" i="46"/>
  <c r="AN118" i="46"/>
  <c r="AM118" i="46"/>
  <c r="AT118" i="46" s="1"/>
  <c r="AY118" i="46"/>
  <c r="AX118" i="46"/>
  <c r="AM128" i="46"/>
  <c r="AY128" i="46"/>
  <c r="AW128" i="46"/>
  <c r="AV128" i="46"/>
  <c r="AU128" i="46"/>
  <c r="AS128" i="46"/>
  <c r="AZ128" i="46"/>
  <c r="AX128" i="46"/>
  <c r="AR128" i="46"/>
  <c r="AQ128" i="46"/>
  <c r="AP128" i="46"/>
  <c r="AO128" i="46"/>
  <c r="AN128" i="46"/>
  <c r="AQ16" i="46"/>
  <c r="AO20" i="46"/>
  <c r="AQ23" i="46"/>
  <c r="AO27" i="46"/>
  <c r="AQ30" i="46"/>
  <c r="AO34" i="46"/>
  <c r="AQ37" i="46"/>
  <c r="AO41" i="46"/>
  <c r="AQ44" i="46"/>
  <c r="AO48" i="46"/>
  <c r="AQ51" i="46"/>
  <c r="AO55" i="46"/>
  <c r="AN61" i="46"/>
  <c r="AP63" i="46"/>
  <c r="AR65" i="46"/>
  <c r="AP68" i="46"/>
  <c r="AU71" i="46"/>
  <c r="AP72" i="46"/>
  <c r="AV73" i="46"/>
  <c r="AR73" i="46"/>
  <c r="AQ73" i="46"/>
  <c r="AY83" i="46"/>
  <c r="AY85" i="46"/>
  <c r="AV90" i="46"/>
  <c r="AM101" i="46"/>
  <c r="AU104" i="46"/>
  <c r="AY115" i="46"/>
  <c r="AW118" i="46"/>
  <c r="AU136" i="46"/>
  <c r="AS136" i="46"/>
  <c r="AR136" i="46"/>
  <c r="AQ136" i="46"/>
  <c r="AP136" i="46"/>
  <c r="AO136" i="46"/>
  <c r="AN136" i="46"/>
  <c r="AM136" i="46"/>
  <c r="AT136" i="46" s="1"/>
  <c r="AZ136" i="46"/>
  <c r="AY136" i="46"/>
  <c r="AX136" i="46"/>
  <c r="AW136" i="46"/>
  <c r="AZ14" i="46"/>
  <c r="AR16" i="46"/>
  <c r="AN17" i="46"/>
  <c r="AP20" i="46"/>
  <c r="AZ21" i="46"/>
  <c r="BA21" i="46" s="1"/>
  <c r="AR23" i="46"/>
  <c r="AN24" i="46"/>
  <c r="AP27" i="46"/>
  <c r="AZ28" i="46"/>
  <c r="BA28" i="46" s="1"/>
  <c r="AR30" i="46"/>
  <c r="AN31" i="46"/>
  <c r="AP34" i="46"/>
  <c r="AZ35" i="46"/>
  <c r="BA35" i="46" s="1"/>
  <c r="AR37" i="46"/>
  <c r="AN38" i="46"/>
  <c r="AP41" i="46"/>
  <c r="AZ42" i="46"/>
  <c r="BA42" i="46" s="1"/>
  <c r="AR44" i="46"/>
  <c r="AN45" i="46"/>
  <c r="AP48" i="46"/>
  <c r="AZ49" i="46"/>
  <c r="BA49" i="46" s="1"/>
  <c r="AR51" i="46"/>
  <c r="AN52" i="46"/>
  <c r="AP55" i="46"/>
  <c r="AZ56" i="46"/>
  <c r="BA56" i="46" s="1"/>
  <c r="AO61" i="46"/>
  <c r="AQ63" i="46"/>
  <c r="AY64" i="46"/>
  <c r="AS65" i="46"/>
  <c r="AM66" i="46"/>
  <c r="AQ68" i="46"/>
  <c r="AV71" i="46"/>
  <c r="AQ72" i="46"/>
  <c r="AM73" i="46"/>
  <c r="AZ83" i="46"/>
  <c r="AW90" i="46"/>
  <c r="AO101" i="46"/>
  <c r="AV104" i="46"/>
  <c r="AZ115" i="46"/>
  <c r="AZ118" i="46"/>
  <c r="AV136" i="46"/>
  <c r="BA14" i="46"/>
  <c r="AS16" i="46"/>
  <c r="AQ20" i="46"/>
  <c r="AS23" i="46"/>
  <c r="AQ27" i="46"/>
  <c r="AS30" i="46"/>
  <c r="AQ34" i="46"/>
  <c r="AS37" i="46"/>
  <c r="AQ41" i="46"/>
  <c r="AS44" i="46"/>
  <c r="AQ48" i="46"/>
  <c r="AS51" i="46"/>
  <c r="AQ55" i="46"/>
  <c r="AP61" i="46"/>
  <c r="AR63" i="46"/>
  <c r="AZ64" i="46"/>
  <c r="AN66" i="46"/>
  <c r="AR68" i="46"/>
  <c r="AW71" i="46"/>
  <c r="AR72" i="46"/>
  <c r="AN73" i="46"/>
  <c r="AY90" i="46"/>
  <c r="AP101" i="46"/>
  <c r="AW104" i="46"/>
  <c r="AU129" i="46"/>
  <c r="AS129" i="46"/>
  <c r="AQ129" i="46"/>
  <c r="AP129" i="46"/>
  <c r="AO129" i="46"/>
  <c r="AN129" i="46"/>
  <c r="AM129" i="46"/>
  <c r="AZ129" i="46"/>
  <c r="AY129" i="46"/>
  <c r="AX129" i="46"/>
  <c r="AW129" i="46"/>
  <c r="AV129" i="46"/>
  <c r="AW164" i="46"/>
  <c r="AV164" i="46"/>
  <c r="AU164" i="46"/>
  <c r="AS164" i="46"/>
  <c r="AR164" i="46"/>
  <c r="AQ164" i="46"/>
  <c r="AP164" i="46"/>
  <c r="AO164" i="46"/>
  <c r="AZ164" i="46"/>
  <c r="AY164" i="46"/>
  <c r="AX164" i="46"/>
  <c r="AN164" i="46"/>
  <c r="AM164" i="46"/>
  <c r="AT164" i="46" s="1"/>
  <c r="AV85" i="46"/>
  <c r="AU85" i="46"/>
  <c r="AS85" i="46"/>
  <c r="AR85" i="46"/>
  <c r="AP85" i="46"/>
  <c r="AO85" i="46"/>
  <c r="AN14" i="46"/>
  <c r="AX15" i="46"/>
  <c r="BA15" i="46" s="1"/>
  <c r="AP17" i="46"/>
  <c r="AV19" i="46"/>
  <c r="AR20" i="46"/>
  <c r="AN21" i="46"/>
  <c r="AX22" i="46"/>
  <c r="BA22" i="46" s="1"/>
  <c r="AP24" i="46"/>
  <c r="AV26" i="46"/>
  <c r="AR27" i="46"/>
  <c r="AN28" i="46"/>
  <c r="AX29" i="46"/>
  <c r="BA29" i="46" s="1"/>
  <c r="AP31" i="46"/>
  <c r="AZ32" i="46"/>
  <c r="BA32" i="46" s="1"/>
  <c r="AV33" i="46"/>
  <c r="AR34" i="46"/>
  <c r="AN35" i="46"/>
  <c r="AX36" i="46"/>
  <c r="AP38" i="46"/>
  <c r="AZ39" i="46"/>
  <c r="BA39" i="46" s="1"/>
  <c r="AR41" i="46"/>
  <c r="AN42" i="46"/>
  <c r="AX43" i="46"/>
  <c r="AP45" i="46"/>
  <c r="AZ46" i="46"/>
  <c r="BA46" i="46" s="1"/>
  <c r="AR48" i="46"/>
  <c r="AN49" i="46"/>
  <c r="AX50" i="46"/>
  <c r="AP52" i="46"/>
  <c r="AZ53" i="46"/>
  <c r="BA53" i="46" s="1"/>
  <c r="AR55" i="46"/>
  <c r="AN56" i="46"/>
  <c r="AX57" i="46"/>
  <c r="AQ61" i="46"/>
  <c r="AY62" i="46"/>
  <c r="AS63" i="46"/>
  <c r="AM64" i="46"/>
  <c r="AU65" i="46"/>
  <c r="AO66" i="46"/>
  <c r="AX67" i="46"/>
  <c r="BA67" i="46" s="1"/>
  <c r="AO69" i="46"/>
  <c r="AX71" i="46"/>
  <c r="AS72" i="46"/>
  <c r="AO73" i="46"/>
  <c r="AZ90" i="46"/>
  <c r="AY101" i="46"/>
  <c r="AY104" i="46"/>
  <c r="AS111" i="46"/>
  <c r="AR111" i="46"/>
  <c r="AQ111" i="46"/>
  <c r="AP111" i="46"/>
  <c r="AO111" i="46"/>
  <c r="AN111" i="46"/>
  <c r="AM111" i="46"/>
  <c r="AX111" i="46"/>
  <c r="AR129" i="46"/>
  <c r="AO14" i="46"/>
  <c r="AU16" i="46"/>
  <c r="AQ17" i="46"/>
  <c r="AS20" i="46"/>
  <c r="AO21" i="46"/>
  <c r="AU23" i="46"/>
  <c r="AQ24" i="46"/>
  <c r="AS27" i="46"/>
  <c r="AO28" i="46"/>
  <c r="AU30" i="46"/>
  <c r="AQ31" i="46"/>
  <c r="AS34" i="46"/>
  <c r="AO35" i="46"/>
  <c r="AU37" i="46"/>
  <c r="AQ38" i="46"/>
  <c r="AS41" i="46"/>
  <c r="AO42" i="46"/>
  <c r="AU44" i="46"/>
  <c r="AQ45" i="46"/>
  <c r="AS48" i="46"/>
  <c r="AO49" i="46"/>
  <c r="AU51" i="46"/>
  <c r="AQ52" i="46"/>
  <c r="AS55" i="46"/>
  <c r="AO56" i="46"/>
  <c r="AR61" i="46"/>
  <c r="AZ62" i="46"/>
  <c r="AN64" i="46"/>
  <c r="AV65" i="46"/>
  <c r="AP66" i="46"/>
  <c r="AU68" i="46"/>
  <c r="AP69" i="46"/>
  <c r="AY71" i="46"/>
  <c r="AP73" i="46"/>
  <c r="AX80" i="46"/>
  <c r="AW80" i="46"/>
  <c r="AV80" i="46"/>
  <c r="AU80" i="46"/>
  <c r="BA80" i="46" s="1"/>
  <c r="AR80" i="46"/>
  <c r="AQ80" i="46"/>
  <c r="AZ101" i="46"/>
  <c r="AZ104" i="46"/>
  <c r="AX108" i="46"/>
  <c r="AW108" i="46"/>
  <c r="AV108" i="46"/>
  <c r="AU108" i="46"/>
  <c r="AS108" i="46"/>
  <c r="AR108" i="46"/>
  <c r="AQ108" i="46"/>
  <c r="AN108" i="46"/>
  <c r="AW31" i="47"/>
  <c r="AV31" i="47"/>
  <c r="AU31" i="47"/>
  <c r="AS31" i="47"/>
  <c r="AR31" i="47"/>
  <c r="AQ31" i="47"/>
  <c r="AP31" i="47"/>
  <c r="AO31" i="47"/>
  <c r="AZ31" i="47"/>
  <c r="AY31" i="47"/>
  <c r="AX31" i="47"/>
  <c r="AN31" i="47"/>
  <c r="AP14" i="46"/>
  <c r="AV16" i="46"/>
  <c r="AR17" i="46"/>
  <c r="AX19" i="46"/>
  <c r="AP21" i="46"/>
  <c r="AV23" i="46"/>
  <c r="AR24" i="46"/>
  <c r="AX26" i="46"/>
  <c r="AP28" i="46"/>
  <c r="AV30" i="46"/>
  <c r="AR31" i="46"/>
  <c r="AX33" i="46"/>
  <c r="AP35" i="46"/>
  <c r="AZ36" i="46"/>
  <c r="AV37" i="46"/>
  <c r="AR38" i="46"/>
  <c r="AP42" i="46"/>
  <c r="AZ43" i="46"/>
  <c r="AV44" i="46"/>
  <c r="AR45" i="46"/>
  <c r="AN46" i="46"/>
  <c r="AP49" i="46"/>
  <c r="AZ50" i="46"/>
  <c r="AV51" i="46"/>
  <c r="AR52" i="46"/>
  <c r="AN53" i="46"/>
  <c r="AP56" i="46"/>
  <c r="AZ57" i="46"/>
  <c r="AS61" i="46"/>
  <c r="AM62" i="46"/>
  <c r="AU63" i="46"/>
  <c r="AO64" i="46"/>
  <c r="AW65" i="46"/>
  <c r="AR66" i="46"/>
  <c r="AV68" i="46"/>
  <c r="AQ69" i="46"/>
  <c r="AZ70" i="46"/>
  <c r="AV70" i="46"/>
  <c r="AU70" i="46"/>
  <c r="BA70" i="46" s="1"/>
  <c r="AZ71" i="46"/>
  <c r="AU72" i="46"/>
  <c r="AS73" i="46"/>
  <c r="AM80" i="46"/>
  <c r="AT107" i="46"/>
  <c r="AM108" i="46"/>
  <c r="AV111" i="46"/>
  <c r="AM31" i="47"/>
  <c r="AQ14" i="46"/>
  <c r="AW16" i="46"/>
  <c r="AY19" i="46"/>
  <c r="AU20" i="46"/>
  <c r="AQ21" i="46"/>
  <c r="AW23" i="46"/>
  <c r="AY26" i="46"/>
  <c r="AU27" i="46"/>
  <c r="AQ28" i="46"/>
  <c r="AW30" i="46"/>
  <c r="AY33" i="46"/>
  <c r="AU34" i="46"/>
  <c r="AQ35" i="46"/>
  <c r="AM36" i="46"/>
  <c r="AT36" i="46" s="1"/>
  <c r="AW37" i="46"/>
  <c r="AO39" i="46"/>
  <c r="AT39" i="46" s="1"/>
  <c r="AY40" i="46"/>
  <c r="BA40" i="46" s="1"/>
  <c r="AU41" i="46"/>
  <c r="AQ42" i="46"/>
  <c r="AM43" i="46"/>
  <c r="AT43" i="46" s="1"/>
  <c r="AW44" i="46"/>
  <c r="AO46" i="46"/>
  <c r="AY47" i="46"/>
  <c r="BA47" i="46" s="1"/>
  <c r="AU48" i="46"/>
  <c r="AQ49" i="46"/>
  <c r="AM50" i="46"/>
  <c r="AT50" i="46" s="1"/>
  <c r="AW51" i="46"/>
  <c r="AO53" i="46"/>
  <c r="AU55" i="46"/>
  <c r="BA55" i="46" s="1"/>
  <c r="AQ56" i="46"/>
  <c r="AM57" i="46"/>
  <c r="AT57" i="46" s="1"/>
  <c r="AN62" i="46"/>
  <c r="AV63" i="46"/>
  <c r="AP64" i="46"/>
  <c r="AX65" i="46"/>
  <c r="AS66" i="46"/>
  <c r="AM67" i="46"/>
  <c r="AW68" i="46"/>
  <c r="AR69" i="46"/>
  <c r="AM70" i="46"/>
  <c r="AV72" i="46"/>
  <c r="AS76" i="46"/>
  <c r="AR76" i="46"/>
  <c r="AQ76" i="46"/>
  <c r="AP76" i="46"/>
  <c r="AN76" i="46"/>
  <c r="AM76" i="46"/>
  <c r="AV78" i="46"/>
  <c r="AU78" i="46"/>
  <c r="BA78" i="46" s="1"/>
  <c r="AS78" i="46"/>
  <c r="AR78" i="46"/>
  <c r="AP78" i="46"/>
  <c r="AO78" i="46"/>
  <c r="AN80" i="46"/>
  <c r="AO108" i="46"/>
  <c r="AW111" i="46"/>
  <c r="AN67" i="46"/>
  <c r="AX68" i="46"/>
  <c r="AS69" i="46"/>
  <c r="AN70" i="46"/>
  <c r="AY72" i="46"/>
  <c r="AU73" i="46"/>
  <c r="BA73" i="46" s="1"/>
  <c r="AO76" i="46"/>
  <c r="AM78" i="46"/>
  <c r="AO80" i="46"/>
  <c r="AX87" i="46"/>
  <c r="AW87" i="46"/>
  <c r="AV87" i="46"/>
  <c r="AU87" i="46"/>
  <c r="BA87" i="46" s="1"/>
  <c r="AR87" i="46"/>
  <c r="AQ87" i="46"/>
  <c r="AT87" i="46" s="1"/>
  <c r="AX94" i="46"/>
  <c r="AW94" i="46"/>
  <c r="AV94" i="46"/>
  <c r="AU94" i="46"/>
  <c r="BA94" i="46" s="1"/>
  <c r="AR94" i="46"/>
  <c r="AQ94" i="46"/>
  <c r="AN94" i="46"/>
  <c r="AT94" i="46" s="1"/>
  <c r="AP108" i="46"/>
  <c r="AY111" i="46"/>
  <c r="AX16" i="47"/>
  <c r="AW16" i="47"/>
  <c r="AW18" i="47" s="1"/>
  <c r="AV16" i="47"/>
  <c r="AU16" i="47"/>
  <c r="AS16" i="47"/>
  <c r="AR16" i="47"/>
  <c r="AQ16" i="47"/>
  <c r="AP16" i="47"/>
  <c r="AZ16" i="47"/>
  <c r="AY16" i="47"/>
  <c r="AO16" i="47"/>
  <c r="AN16" i="47"/>
  <c r="AZ92" i="46"/>
  <c r="AZ99" i="46"/>
  <c r="AZ106" i="46"/>
  <c r="AZ113" i="46"/>
  <c r="AY149" i="46"/>
  <c r="AX149" i="46"/>
  <c r="AW149" i="46"/>
  <c r="AV149" i="46"/>
  <c r="AU149" i="46"/>
  <c r="AT149" i="46"/>
  <c r="AS149" i="46"/>
  <c r="AR149" i="46"/>
  <c r="AQ149" i="46"/>
  <c r="AY159" i="46"/>
  <c r="AX159" i="46"/>
  <c r="AW159" i="46"/>
  <c r="AV159" i="46"/>
  <c r="AU159" i="46"/>
  <c r="AS159" i="46"/>
  <c r="AR159" i="46"/>
  <c r="AQ159" i="46"/>
  <c r="AW176" i="46"/>
  <c r="AV176" i="46"/>
  <c r="AU176" i="46"/>
  <c r="AS176" i="46"/>
  <c r="AR176" i="46"/>
  <c r="AQ176" i="46"/>
  <c r="AP176" i="46"/>
  <c r="AO176" i="46"/>
  <c r="AT176" i="46" s="1"/>
  <c r="AV14" i="47"/>
  <c r="AU14" i="47"/>
  <c r="AS14" i="47"/>
  <c r="AR14" i="47"/>
  <c r="AQ14" i="47"/>
  <c r="AP14" i="47"/>
  <c r="AO14" i="47"/>
  <c r="AO18" i="47" s="1"/>
  <c r="AN14" i="47"/>
  <c r="AW124" i="46"/>
  <c r="AS124" i="46"/>
  <c r="AR124" i="46"/>
  <c r="AQ124" i="46"/>
  <c r="AO124" i="46"/>
  <c r="AW157" i="46"/>
  <c r="AV157" i="46"/>
  <c r="AU157" i="46"/>
  <c r="AS157" i="46"/>
  <c r="AR157" i="46"/>
  <c r="AQ157" i="46"/>
  <c r="AP157" i="46"/>
  <c r="AO157" i="46"/>
  <c r="AY126" i="46"/>
  <c r="AW126" i="46"/>
  <c r="AU126" i="46"/>
  <c r="AS126" i="46"/>
  <c r="AR126" i="46"/>
  <c r="AQ126" i="46"/>
  <c r="AY140" i="46"/>
  <c r="AX140" i="46"/>
  <c r="AW140" i="46"/>
  <c r="AV140" i="46"/>
  <c r="AU140" i="46"/>
  <c r="AS140" i="46"/>
  <c r="AR140" i="46"/>
  <c r="AQ140" i="46"/>
  <c r="AX152" i="46"/>
  <c r="AW152" i="46"/>
  <c r="AV152" i="46"/>
  <c r="AU152" i="46"/>
  <c r="AT152" i="46"/>
  <c r="AS152" i="46"/>
  <c r="AR152" i="46"/>
  <c r="AQ152" i="46"/>
  <c r="AP152" i="46"/>
  <c r="AV29" i="47"/>
  <c r="AU29" i="47"/>
  <c r="AS29" i="47"/>
  <c r="AR29" i="47"/>
  <c r="AQ29" i="47"/>
  <c r="AP29" i="47"/>
  <c r="AO29" i="47"/>
  <c r="AN29" i="47"/>
  <c r="AY74" i="46"/>
  <c r="AS75" i="46"/>
  <c r="AT75" i="46" s="1"/>
  <c r="AU77" i="46"/>
  <c r="AW79" i="46"/>
  <c r="AY81" i="46"/>
  <c r="BA81" i="46" s="1"/>
  <c r="AS82" i="46"/>
  <c r="AT82" i="46" s="1"/>
  <c r="AU84" i="46"/>
  <c r="AW86" i="46"/>
  <c r="AY88" i="46"/>
  <c r="BA88" i="46" s="1"/>
  <c r="AS89" i="46"/>
  <c r="AT89" i="46" s="1"/>
  <c r="AU91" i="46"/>
  <c r="AO92" i="46"/>
  <c r="AW93" i="46"/>
  <c r="AY95" i="46"/>
  <c r="BA95" i="46" s="1"/>
  <c r="AS96" i="46"/>
  <c r="AT96" i="46" s="1"/>
  <c r="AU98" i="46"/>
  <c r="AO99" i="46"/>
  <c r="AW100" i="46"/>
  <c r="AY102" i="46"/>
  <c r="BA102" i="46" s="1"/>
  <c r="AS103" i="46"/>
  <c r="AT103" i="46" s="1"/>
  <c r="AU105" i="46"/>
  <c r="AO106" i="46"/>
  <c r="AW107" i="46"/>
  <c r="AY109" i="46"/>
  <c r="BA109" i="46" s="1"/>
  <c r="AS110" i="46"/>
  <c r="AT110" i="46" s="1"/>
  <c r="AU112" i="46"/>
  <c r="AO113" i="46"/>
  <c r="AO120" i="46"/>
  <c r="AN124" i="46"/>
  <c r="AM126" i="46"/>
  <c r="AM140" i="46"/>
  <c r="AO149" i="46"/>
  <c r="AM152" i="46"/>
  <c r="AN157" i="46"/>
  <c r="AT157" i="46" s="1"/>
  <c r="AO159" i="46"/>
  <c r="AX176" i="46"/>
  <c r="AX14" i="47"/>
  <c r="AM29" i="47"/>
  <c r="AT29" i="47" s="1"/>
  <c r="AZ74" i="46"/>
  <c r="AV77" i="46"/>
  <c r="AX79" i="46"/>
  <c r="AV84" i="46"/>
  <c r="AX86" i="46"/>
  <c r="AV91" i="46"/>
  <c r="AP92" i="46"/>
  <c r="AX93" i="46"/>
  <c r="AV98" i="46"/>
  <c r="AP99" i="46"/>
  <c r="AX100" i="46"/>
  <c r="AV105" i="46"/>
  <c r="AP106" i="46"/>
  <c r="AX107" i="46"/>
  <c r="AV112" i="46"/>
  <c r="AP113" i="46"/>
  <c r="AX114" i="46"/>
  <c r="BA114" i="46" s="1"/>
  <c r="AV119" i="46"/>
  <c r="AP120" i="46"/>
  <c r="AZ121" i="46"/>
  <c r="BA121" i="46" s="1"/>
  <c r="AV122" i="46"/>
  <c r="AP124" i="46"/>
  <c r="AN126" i="46"/>
  <c r="AW138" i="46"/>
  <c r="AV138" i="46"/>
  <c r="AU138" i="46"/>
  <c r="AS138" i="46"/>
  <c r="AR138" i="46"/>
  <c r="AQ138" i="46"/>
  <c r="AP138" i="46"/>
  <c r="AO138" i="46"/>
  <c r="AN140" i="46"/>
  <c r="AP149" i="46"/>
  <c r="AN152" i="46"/>
  <c r="AX157" i="46"/>
  <c r="AP159" i="46"/>
  <c r="AU169" i="46"/>
  <c r="AS169" i="46"/>
  <c r="AR169" i="46"/>
  <c r="AQ169" i="46"/>
  <c r="AP169" i="46"/>
  <c r="AO169" i="46"/>
  <c r="AN169" i="46"/>
  <c r="AM169" i="46"/>
  <c r="AY176" i="46"/>
  <c r="AY14" i="47"/>
  <c r="AW27" i="47"/>
  <c r="AV27" i="47"/>
  <c r="AU27" i="47"/>
  <c r="AS27" i="47"/>
  <c r="AS33" i="47" s="1"/>
  <c r="AR27" i="47"/>
  <c r="AQ27" i="47"/>
  <c r="AP27" i="47"/>
  <c r="AO27" i="47"/>
  <c r="AW29" i="47"/>
  <c r="AW33" i="47" s="1"/>
  <c r="AU96" i="46"/>
  <c r="AW98" i="46"/>
  <c r="AQ99" i="46"/>
  <c r="AY100" i="46"/>
  <c r="AU103" i="46"/>
  <c r="AW105" i="46"/>
  <c r="AQ106" i="46"/>
  <c r="AY107" i="46"/>
  <c r="AU110" i="46"/>
  <c r="AW112" i="46"/>
  <c r="AQ113" i="46"/>
  <c r="AU117" i="46"/>
  <c r="AW119" i="46"/>
  <c r="AQ120" i="46"/>
  <c r="AO126" i="46"/>
  <c r="AO140" i="46"/>
  <c r="AX146" i="46"/>
  <c r="AW146" i="46"/>
  <c r="AV146" i="46"/>
  <c r="AU146" i="46"/>
  <c r="AT146" i="46"/>
  <c r="AS146" i="46"/>
  <c r="AR146" i="46"/>
  <c r="AQ146" i="46"/>
  <c r="AP146" i="46"/>
  <c r="AZ149" i="46"/>
  <c r="AO152" i="46"/>
  <c r="AY157" i="46"/>
  <c r="AZ159" i="46"/>
  <c r="AZ176" i="46"/>
  <c r="AZ14" i="47"/>
  <c r="AM27" i="47"/>
  <c r="AX29" i="47"/>
  <c r="AV75" i="46"/>
  <c r="AZ79" i="46"/>
  <c r="AV82" i="46"/>
  <c r="AZ86" i="46"/>
  <c r="AV89" i="46"/>
  <c r="AR92" i="46"/>
  <c r="AZ93" i="46"/>
  <c r="AV96" i="46"/>
  <c r="AX98" i="46"/>
  <c r="AR99" i="46"/>
  <c r="AZ100" i="46"/>
  <c r="AV103" i="46"/>
  <c r="AX105" i="46"/>
  <c r="AR106" i="46"/>
  <c r="AZ107" i="46"/>
  <c r="AV110" i="46"/>
  <c r="AX112" i="46"/>
  <c r="AR113" i="46"/>
  <c r="AV117" i="46"/>
  <c r="AX119" i="46"/>
  <c r="AR120" i="46"/>
  <c r="AM121" i="46"/>
  <c r="AX122" i="46"/>
  <c r="AU124" i="46"/>
  <c r="AP126" i="46"/>
  <c r="AY133" i="46"/>
  <c r="AX133" i="46"/>
  <c r="AW133" i="46"/>
  <c r="AV133" i="46"/>
  <c r="AU133" i="46"/>
  <c r="BA133" i="46" s="1"/>
  <c r="AS133" i="46"/>
  <c r="AR133" i="46"/>
  <c r="AQ133" i="46"/>
  <c r="AN138" i="46"/>
  <c r="AT138" i="46" s="1"/>
  <c r="AP140" i="46"/>
  <c r="AM146" i="46"/>
  <c r="BA149" i="46"/>
  <c r="AY152" i="46"/>
  <c r="AZ157" i="46"/>
  <c r="AW169" i="46"/>
  <c r="AU33" i="47"/>
  <c r="AN27" i="47"/>
  <c r="AY29" i="47"/>
  <c r="AS92" i="46"/>
  <c r="AS99" i="46"/>
  <c r="AS106" i="46"/>
  <c r="AS113" i="46"/>
  <c r="AY119" i="46"/>
  <c r="AS120" i="46"/>
  <c r="AN121" i="46"/>
  <c r="AY122" i="46"/>
  <c r="AV124" i="46"/>
  <c r="AV126" i="46"/>
  <c r="AW131" i="46"/>
  <c r="AV131" i="46"/>
  <c r="AU131" i="46"/>
  <c r="AS131" i="46"/>
  <c r="AR131" i="46"/>
  <c r="AQ131" i="46"/>
  <c r="AP131" i="46"/>
  <c r="AO131" i="46"/>
  <c r="AM133" i="46"/>
  <c r="AX138" i="46"/>
  <c r="AZ140" i="46"/>
  <c r="AN146" i="46"/>
  <c r="AZ152" i="46"/>
  <c r="AU162" i="46"/>
  <c r="AS162" i="46"/>
  <c r="AR162" i="46"/>
  <c r="AQ162" i="46"/>
  <c r="AP162" i="46"/>
  <c r="AO162" i="46"/>
  <c r="AN162" i="46"/>
  <c r="AM162" i="46"/>
  <c r="AX169" i="46"/>
  <c r="AX27" i="47"/>
  <c r="AZ29" i="47"/>
  <c r="AX75" i="46"/>
  <c r="AN79" i="46"/>
  <c r="AX82" i="46"/>
  <c r="AN86" i="46"/>
  <c r="AT86" i="46" s="1"/>
  <c r="AX89" i="46"/>
  <c r="AN93" i="46"/>
  <c r="AT93" i="46" s="1"/>
  <c r="AX96" i="46"/>
  <c r="AN100" i="46"/>
  <c r="AT100" i="46" s="1"/>
  <c r="AX103" i="46"/>
  <c r="AZ105" i="46"/>
  <c r="AX110" i="46"/>
  <c r="AX117" i="46"/>
  <c r="AZ119" i="46"/>
  <c r="AO121" i="46"/>
  <c r="AX124" i="46"/>
  <c r="AX126" i="46"/>
  <c r="AM131" i="46"/>
  <c r="AN133" i="46"/>
  <c r="AY138" i="46"/>
  <c r="AU143" i="46"/>
  <c r="AS143" i="46"/>
  <c r="AR143" i="46"/>
  <c r="AQ143" i="46"/>
  <c r="AP143" i="46"/>
  <c r="AO143" i="46"/>
  <c r="AN143" i="46"/>
  <c r="AM143" i="46"/>
  <c r="AT143" i="46" s="1"/>
  <c r="AO146" i="46"/>
  <c r="AV162" i="46"/>
  <c r="AY169" i="46"/>
  <c r="AY173" i="46"/>
  <c r="AX173" i="46"/>
  <c r="AW173" i="46"/>
  <c r="AV173" i="46"/>
  <c r="AU173" i="46"/>
  <c r="BA173" i="46" s="1"/>
  <c r="AS173" i="46"/>
  <c r="AR173" i="46"/>
  <c r="AQ173" i="46"/>
  <c r="AM18" i="47"/>
  <c r="AY27" i="47"/>
  <c r="AY75" i="46"/>
  <c r="AO79" i="46"/>
  <c r="AU92" i="46"/>
  <c r="BA92" i="46" s="1"/>
  <c r="AU99" i="46"/>
  <c r="AU106" i="46"/>
  <c r="BA106" i="46" s="1"/>
  <c r="AY110" i="46"/>
  <c r="AU113" i="46"/>
  <c r="BA113" i="46" s="1"/>
  <c r="AY117" i="46"/>
  <c r="AM119" i="46"/>
  <c r="AT119" i="46" s="1"/>
  <c r="AU120" i="46"/>
  <c r="AP121" i="46"/>
  <c r="AY124" i="46"/>
  <c r="AZ126" i="46"/>
  <c r="AO130" i="46"/>
  <c r="AM130" i="46"/>
  <c r="AY130" i="46"/>
  <c r="AX130" i="46"/>
  <c r="AW130" i="46"/>
  <c r="AV130" i="46"/>
  <c r="AU130" i="46"/>
  <c r="AN131" i="46"/>
  <c r="AO133" i="46"/>
  <c r="AZ138" i="46"/>
  <c r="AY146" i="46"/>
  <c r="AU155" i="46"/>
  <c r="AS155" i="46"/>
  <c r="AR155" i="46"/>
  <c r="AQ155" i="46"/>
  <c r="AP155" i="46"/>
  <c r="AO155" i="46"/>
  <c r="AN155" i="46"/>
  <c r="AM155" i="46"/>
  <c r="AW162" i="46"/>
  <c r="AZ169" i="46"/>
  <c r="AM173" i="46"/>
  <c r="AZ27" i="47"/>
  <c r="AV120" i="46"/>
  <c r="AQ121" i="46"/>
  <c r="AQ122" i="46"/>
  <c r="AM122" i="46"/>
  <c r="AT122" i="46" s="1"/>
  <c r="AZ124" i="46"/>
  <c r="AN130" i="46"/>
  <c r="AP133" i="46"/>
  <c r="AW143" i="46"/>
  <c r="AZ146" i="46"/>
  <c r="AV155" i="46"/>
  <c r="AX162" i="46"/>
  <c r="AW171" i="46"/>
  <c r="AV171" i="46"/>
  <c r="AU171" i="46"/>
  <c r="BA171" i="46" s="1"/>
  <c r="AS171" i="46"/>
  <c r="AR171" i="46"/>
  <c r="AQ171" i="46"/>
  <c r="AP171" i="46"/>
  <c r="AO171" i="46"/>
  <c r="AY166" i="46"/>
  <c r="AX166" i="46"/>
  <c r="AW166" i="46"/>
  <c r="AV166" i="46"/>
  <c r="AU166" i="46"/>
  <c r="BA166" i="46" s="1"/>
  <c r="AS166" i="46"/>
  <c r="AR166" i="46"/>
  <c r="AQ166" i="46"/>
  <c r="AT166" i="46" s="1"/>
  <c r="AM171" i="46"/>
  <c r="AO173" i="46"/>
  <c r="AV22" i="47"/>
  <c r="AU22" i="47"/>
  <c r="AS22" i="47"/>
  <c r="AS24" i="47" s="1"/>
  <c r="AR22" i="47"/>
  <c r="AQ22" i="47"/>
  <c r="AP22" i="47"/>
  <c r="AO22" i="47"/>
  <c r="AN22" i="47"/>
  <c r="AT22" i="47" s="1"/>
  <c r="AW125" i="46"/>
  <c r="AY127" i="46"/>
  <c r="AY134" i="46"/>
  <c r="AS135" i="46"/>
  <c r="AT135" i="46" s="1"/>
  <c r="AU137" i="46"/>
  <c r="AS142" i="46"/>
  <c r="AT142" i="46" s="1"/>
  <c r="AT145" i="46"/>
  <c r="AZ147" i="46"/>
  <c r="AZ150" i="46"/>
  <c r="BA150" i="46" s="1"/>
  <c r="AU151" i="46"/>
  <c r="AS154" i="46"/>
  <c r="AT154" i="46" s="1"/>
  <c r="AU156" i="46"/>
  <c r="AS161" i="46"/>
  <c r="AT161" i="46" s="1"/>
  <c r="AU163" i="46"/>
  <c r="AS168" i="46"/>
  <c r="AT168" i="46" s="1"/>
  <c r="AU170" i="46"/>
  <c r="AZ19" i="47"/>
  <c r="BA19" i="47" s="1"/>
  <c r="AZ127" i="46"/>
  <c r="BA127" i="46" s="1"/>
  <c r="AZ134" i="46"/>
  <c r="AV137" i="46"/>
  <c r="AZ141" i="46"/>
  <c r="BA141" i="46" s="1"/>
  <c r="AU145" i="46"/>
  <c r="AM147" i="46"/>
  <c r="BA147" i="46"/>
  <c r="AM150" i="46"/>
  <c r="AV151" i="46"/>
  <c r="AZ153" i="46"/>
  <c r="BA153" i="46" s="1"/>
  <c r="AV156" i="46"/>
  <c r="AZ160" i="46"/>
  <c r="BA160" i="46" s="1"/>
  <c r="AV163" i="46"/>
  <c r="AZ167" i="46"/>
  <c r="BA167" i="46" s="1"/>
  <c r="AV170" i="46"/>
  <c r="AZ174" i="46"/>
  <c r="BA174" i="46" s="1"/>
  <c r="AV175" i="46"/>
  <c r="AM19" i="47"/>
  <c r="AZ34" i="47"/>
  <c r="BA34" i="47" s="1"/>
  <c r="AY125" i="46"/>
  <c r="AM127" i="46"/>
  <c r="AY132" i="46"/>
  <c r="AM134" i="46"/>
  <c r="AU135" i="46"/>
  <c r="AW137" i="46"/>
  <c r="AY139" i="46"/>
  <c r="AM141" i="46"/>
  <c r="AU142" i="46"/>
  <c r="AV145" i="46"/>
  <c r="AN147" i="46"/>
  <c r="AN150" i="46"/>
  <c r="AW151" i="46"/>
  <c r="AM153" i="46"/>
  <c r="AU154" i="46"/>
  <c r="AW156" i="46"/>
  <c r="AY158" i="46"/>
  <c r="AM160" i="46"/>
  <c r="AU161" i="46"/>
  <c r="AW163" i="46"/>
  <c r="AY165" i="46"/>
  <c r="AM167" i="46"/>
  <c r="AU168" i="46"/>
  <c r="AW170" i="46"/>
  <c r="AY172" i="46"/>
  <c r="AM174" i="46"/>
  <c r="AW175" i="46"/>
  <c r="AX15" i="47"/>
  <c r="AZ17" i="47"/>
  <c r="BA17" i="47" s="1"/>
  <c r="AN19" i="47"/>
  <c r="AV21" i="47"/>
  <c r="AX23" i="47"/>
  <c r="AZ25" i="47"/>
  <c r="BA25" i="47" s="1"/>
  <c r="AM34" i="47"/>
  <c r="AZ125" i="46"/>
  <c r="AN127" i="46"/>
  <c r="AZ132" i="46"/>
  <c r="AN134" i="46"/>
  <c r="AV135" i="46"/>
  <c r="AX137" i="46"/>
  <c r="AZ139" i="46"/>
  <c r="AN141" i="46"/>
  <c r="AV142" i="46"/>
  <c r="AW145" i="46"/>
  <c r="AO147" i="46"/>
  <c r="AO150" i="46"/>
  <c r="AX151" i="46"/>
  <c r="AN153" i="46"/>
  <c r="AV154" i="46"/>
  <c r="AX156" i="46"/>
  <c r="AZ158" i="46"/>
  <c r="AN160" i="46"/>
  <c r="AV161" i="46"/>
  <c r="AX163" i="46"/>
  <c r="AZ165" i="46"/>
  <c r="AN167" i="46"/>
  <c r="AV168" i="46"/>
  <c r="AX170" i="46"/>
  <c r="AZ172" i="46"/>
  <c r="AN174" i="46"/>
  <c r="AX175" i="46"/>
  <c r="AY15" i="47"/>
  <c r="AM17" i="47"/>
  <c r="AO19" i="47"/>
  <c r="AW21" i="47"/>
  <c r="AW24" i="47" s="1"/>
  <c r="AY23" i="47"/>
  <c r="AM25" i="47"/>
  <c r="AX28" i="47"/>
  <c r="AX30" i="47"/>
  <c r="AZ32" i="47"/>
  <c r="BA32" i="47" s="1"/>
  <c r="AN34" i="47"/>
  <c r="AM125" i="46"/>
  <c r="AT125" i="46" s="1"/>
  <c r="AO127" i="46"/>
  <c r="AM132" i="46"/>
  <c r="AT132" i="46" s="1"/>
  <c r="AO134" i="46"/>
  <c r="AW135" i="46"/>
  <c r="AY137" i="46"/>
  <c r="AM139" i="46"/>
  <c r="AT139" i="46" s="1"/>
  <c r="AO141" i="46"/>
  <c r="AW142" i="46"/>
  <c r="AX145" i="46"/>
  <c r="AP147" i="46"/>
  <c r="AP150" i="46"/>
  <c r="AY151" i="46"/>
  <c r="AO153" i="46"/>
  <c r="AW154" i="46"/>
  <c r="AY156" i="46"/>
  <c r="AO160" i="46"/>
  <c r="AW161" i="46"/>
  <c r="AY163" i="46"/>
  <c r="AM165" i="46"/>
  <c r="AT165" i="46" s="1"/>
  <c r="AO167" i="46"/>
  <c r="AW168" i="46"/>
  <c r="AY170" i="46"/>
  <c r="AM172" i="46"/>
  <c r="AT172" i="46" s="1"/>
  <c r="AO174" i="46"/>
  <c r="AY175" i="46"/>
  <c r="AZ15" i="47"/>
  <c r="AN17" i="47"/>
  <c r="AP19" i="47"/>
  <c r="AX21" i="47"/>
  <c r="AX24" i="47" s="1"/>
  <c r="AZ23" i="47"/>
  <c r="AN25" i="47"/>
  <c r="AY28" i="47"/>
  <c r="AY30" i="47"/>
  <c r="AM32" i="47"/>
  <c r="AO34" i="47"/>
  <c r="AW35" i="47"/>
  <c r="AZ137" i="46"/>
  <c r="AX142" i="46"/>
  <c r="AZ151" i="46"/>
  <c r="AZ156" i="46"/>
  <c r="AX161" i="46"/>
  <c r="AZ163" i="46"/>
  <c r="AX168" i="46"/>
  <c r="AZ170" i="46"/>
  <c r="AZ175" i="46"/>
  <c r="AO17" i="47"/>
  <c r="AQ19" i="47"/>
  <c r="AQ24" i="47" s="1"/>
  <c r="AY21" i="47"/>
  <c r="AY24" i="47" s="1"/>
  <c r="AM23" i="47"/>
  <c r="AO25" i="47"/>
  <c r="AZ28" i="47"/>
  <c r="AZ30" i="47"/>
  <c r="AN32" i="47"/>
  <c r="AP34" i="47"/>
  <c r="AX35" i="47"/>
  <c r="AQ127" i="46"/>
  <c r="AQ134" i="46"/>
  <c r="AY135" i="46"/>
  <c r="AM137" i="46"/>
  <c r="AQ141" i="46"/>
  <c r="AY142" i="46"/>
  <c r="AZ145" i="46"/>
  <c r="AR147" i="46"/>
  <c r="AR150" i="46"/>
  <c r="AM151" i="46"/>
  <c r="AY154" i="46"/>
  <c r="AM156" i="46"/>
  <c r="AY161" i="46"/>
  <c r="AM163" i="46"/>
  <c r="AY168" i="46"/>
  <c r="AM170" i="46"/>
  <c r="AM175" i="46"/>
  <c r="BA175" i="46"/>
  <c r="AP17" i="47"/>
  <c r="AR19" i="47"/>
  <c r="AR24" i="47" s="1"/>
  <c r="AZ21" i="47"/>
  <c r="AN23" i="47"/>
  <c r="AP25" i="47"/>
  <c r="AM28" i="47"/>
  <c r="AM30" i="47"/>
  <c r="AO32" i="47"/>
  <c r="AQ34" i="47"/>
  <c r="AY35" i="47"/>
  <c r="AZ135" i="46"/>
  <c r="AN137" i="46"/>
  <c r="AZ142" i="46"/>
  <c r="AN151" i="46"/>
  <c r="AZ154" i="46"/>
  <c r="AN156" i="46"/>
  <c r="AZ161" i="46"/>
  <c r="AN163" i="46"/>
  <c r="AZ168" i="46"/>
  <c r="AN170" i="46"/>
  <c r="AN175" i="46"/>
  <c r="AQ17" i="47"/>
  <c r="AM21" i="47"/>
  <c r="AT21" i="47" s="1"/>
  <c r="AO23" i="47"/>
  <c r="AQ25" i="47"/>
  <c r="AN28" i="47"/>
  <c r="AN30" i="47"/>
  <c r="AR34" i="47"/>
  <c r="AZ35" i="47"/>
  <c r="AT68" i="46" l="1"/>
  <c r="AT24" i="46"/>
  <c r="BA36" i="46"/>
  <c r="BA50" i="46"/>
  <c r="AW58" i="46"/>
  <c r="AT99" i="46"/>
  <c r="BA122" i="46"/>
  <c r="BA89" i="46"/>
  <c r="BA134" i="46"/>
  <c r="BA172" i="46"/>
  <c r="AX33" i="47"/>
  <c r="AT15" i="47"/>
  <c r="AT116" i="46"/>
  <c r="AT114" i="46"/>
  <c r="AT112" i="46"/>
  <c r="AT109" i="46"/>
  <c r="AT98" i="46"/>
  <c r="AT95" i="46"/>
  <c r="AT91" i="46"/>
  <c r="AT88" i="46"/>
  <c r="AT84" i="46"/>
  <c r="AT77" i="46"/>
  <c r="AT74" i="46"/>
  <c r="AT29" i="46"/>
  <c r="AT25" i="46"/>
  <c r="AT22" i="46"/>
  <c r="AT18" i="46"/>
  <c r="AT15" i="46"/>
  <c r="AT85" i="46"/>
  <c r="AT44" i="46"/>
  <c r="AT72" i="46"/>
  <c r="AT63" i="46"/>
  <c r="AT128" i="46"/>
  <c r="AT101" i="46"/>
  <c r="AT31" i="46"/>
  <c r="AT38" i="46"/>
  <c r="AT45" i="46"/>
  <c r="AT52" i="46"/>
  <c r="BA64" i="46"/>
  <c r="AS58" i="46"/>
  <c r="AT17" i="46"/>
  <c r="AT21" i="46"/>
  <c r="BA33" i="46"/>
  <c r="AT35" i="46"/>
  <c r="BA43" i="46"/>
  <c r="AT56" i="46"/>
  <c r="BA57" i="46"/>
  <c r="BA62" i="46"/>
  <c r="BA16" i="46"/>
  <c r="BA30" i="46"/>
  <c r="BA37" i="46"/>
  <c r="AV33" i="47"/>
  <c r="BA31" i="47"/>
  <c r="AR33" i="47"/>
  <c r="AV58" i="46"/>
  <c r="AT62" i="46"/>
  <c r="BA63" i="46"/>
  <c r="AW144" i="46"/>
  <c r="AT80" i="46"/>
  <c r="AT108" i="46"/>
  <c r="AY58" i="46"/>
  <c r="AV144" i="46"/>
  <c r="AT76" i="46"/>
  <c r="BA111" i="46"/>
  <c r="BA16" i="47"/>
  <c r="AT16" i="47"/>
  <c r="BA159" i="46"/>
  <c r="BA157" i="46"/>
  <c r="BA74" i="46"/>
  <c r="BA79" i="46"/>
  <c r="BA86" i="46"/>
  <c r="BA91" i="46"/>
  <c r="AT92" i="46"/>
  <c r="BA93" i="46"/>
  <c r="BA98" i="46"/>
  <c r="BA100" i="46"/>
  <c r="AT106" i="46"/>
  <c r="BA107" i="46"/>
  <c r="AT113" i="46"/>
  <c r="AT120" i="46"/>
  <c r="AT124" i="46"/>
  <c r="AT159" i="46"/>
  <c r="AX18" i="47"/>
  <c r="BA119" i="46"/>
  <c r="BA138" i="46"/>
  <c r="BA117" i="46"/>
  <c r="AS177" i="46"/>
  <c r="AR177" i="46"/>
  <c r="AQ177" i="46"/>
  <c r="AP177" i="46"/>
  <c r="BA75" i="46"/>
  <c r="BA82" i="46"/>
  <c r="AT79" i="46"/>
  <c r="AT131" i="46"/>
  <c r="AO177" i="46"/>
  <c r="AY33" i="47"/>
  <c r="BA155" i="46"/>
  <c r="AT173" i="46"/>
  <c r="BA125" i="46"/>
  <c r="AZ24" i="47"/>
  <c r="AM177" i="46"/>
  <c r="BA132" i="46"/>
  <c r="BA139" i="46"/>
  <c r="BA158" i="46"/>
  <c r="BA165" i="46"/>
  <c r="BA23" i="47"/>
  <c r="AZ33" i="47"/>
  <c r="AT34" i="47"/>
  <c r="BA15" i="47"/>
  <c r="AT17" i="47"/>
  <c r="AN33" i="47"/>
  <c r="BA28" i="47"/>
  <c r="BA30" i="47"/>
  <c r="BA35" i="47"/>
  <c r="AT137" i="46"/>
  <c r="AT163" i="46"/>
  <c r="AT170" i="46"/>
  <c r="AN177" i="46"/>
  <c r="AV24" i="47"/>
  <c r="BA21" i="47"/>
  <c r="AT37" i="46"/>
  <c r="AQ33" i="47"/>
  <c r="AP24" i="47"/>
  <c r="AW177" i="46"/>
  <c r="AW179" i="46" s="1"/>
  <c r="AN24" i="47"/>
  <c r="AT127" i="46"/>
  <c r="BA151" i="46"/>
  <c r="AT27" i="47"/>
  <c r="BA110" i="46"/>
  <c r="BA126" i="46"/>
  <c r="AU18" i="47"/>
  <c r="BA14" i="47"/>
  <c r="BA18" i="47" s="1"/>
  <c r="AP58" i="46"/>
  <c r="AP179" i="46" s="1"/>
  <c r="AX58" i="46"/>
  <c r="AX179" i="46" s="1"/>
  <c r="AN179" i="46"/>
  <c r="AN58" i="46"/>
  <c r="AT14" i="46"/>
  <c r="AT129" i="46"/>
  <c r="AT73" i="46"/>
  <c r="AT83" i="46"/>
  <c r="AT55" i="46"/>
  <c r="AT30" i="46"/>
  <c r="AT71" i="46"/>
  <c r="BA154" i="46"/>
  <c r="BA27" i="47"/>
  <c r="BA169" i="46"/>
  <c r="AV18" i="47"/>
  <c r="AM58" i="46"/>
  <c r="AM179" i="46" s="1"/>
  <c r="BA72" i="46"/>
  <c r="AT69" i="46"/>
  <c r="BA27" i="46"/>
  <c r="AU58" i="46"/>
  <c r="AU179" i="46" s="1"/>
  <c r="BA90" i="46"/>
  <c r="BA163" i="46"/>
  <c r="BA115" i="46"/>
  <c r="BA161" i="46"/>
  <c r="AT134" i="46"/>
  <c r="BA156" i="46"/>
  <c r="BA112" i="46"/>
  <c r="BA152" i="46"/>
  <c r="AS18" i="47"/>
  <c r="BA41" i="46"/>
  <c r="BA20" i="46"/>
  <c r="AS144" i="46"/>
  <c r="AS179" i="46" s="1"/>
  <c r="AR144" i="46"/>
  <c r="BA145" i="46"/>
  <c r="AU177" i="46"/>
  <c r="BA22" i="47"/>
  <c r="BA24" i="47" s="1"/>
  <c r="BA130" i="46"/>
  <c r="AT133" i="46"/>
  <c r="BA124" i="46"/>
  <c r="AU24" i="47"/>
  <c r="AQ58" i="46"/>
  <c r="AQ179" i="46" s="1"/>
  <c r="AT111" i="46"/>
  <c r="AT49" i="46"/>
  <c r="AT48" i="46"/>
  <c r="BA83" i="46"/>
  <c r="AT23" i="46"/>
  <c r="AZ144" i="46"/>
  <c r="AT156" i="46"/>
  <c r="AT19" i="47"/>
  <c r="AM24" i="47"/>
  <c r="AT155" i="46"/>
  <c r="AT162" i="46"/>
  <c r="BA29" i="47"/>
  <c r="BA33" i="47" s="1"/>
  <c r="AT14" i="47"/>
  <c r="AT18" i="47" s="1"/>
  <c r="AT31" i="47"/>
  <c r="AT53" i="46"/>
  <c r="AP144" i="46"/>
  <c r="AM144" i="46"/>
  <c r="AT61" i="46"/>
  <c r="BA61" i="46"/>
  <c r="AT30" i="47"/>
  <c r="AT174" i="46"/>
  <c r="AT121" i="46"/>
  <c r="AZ18" i="47"/>
  <c r="BA103" i="46"/>
  <c r="BA105" i="46"/>
  <c r="BA84" i="46"/>
  <c r="BA51" i="46"/>
  <c r="BA65" i="46"/>
  <c r="AT28" i="46"/>
  <c r="AT66" i="46"/>
  <c r="BA136" i="46"/>
  <c r="AY144" i="46"/>
  <c r="AY179" i="46" s="1"/>
  <c r="AT41" i="46"/>
  <c r="AT16" i="46"/>
  <c r="AU144" i="46"/>
  <c r="AT65" i="46"/>
  <c r="AT28" i="47"/>
  <c r="AX177" i="46"/>
  <c r="AM33" i="47"/>
  <c r="AT25" i="47"/>
  <c r="BA137" i="46"/>
  <c r="AT171" i="46"/>
  <c r="BA99" i="46"/>
  <c r="BA143" i="46"/>
  <c r="AT70" i="46"/>
  <c r="BA34" i="46"/>
  <c r="AT64" i="46"/>
  <c r="BA128" i="46"/>
  <c r="BA101" i="46"/>
  <c r="AR58" i="46"/>
  <c r="AR179" i="46" s="1"/>
  <c r="AP33" i="47"/>
  <c r="AO33" i="47"/>
  <c r="AV177" i="46"/>
  <c r="AV179" i="46" s="1"/>
  <c r="AY18" i="47"/>
  <c r="BA140" i="46"/>
  <c r="AT78" i="46"/>
  <c r="BA23" i="46"/>
  <c r="BA26" i="46"/>
  <c r="BA164" i="46"/>
  <c r="BA129" i="46"/>
  <c r="AZ58" i="46"/>
  <c r="AZ179" i="46" s="1"/>
  <c r="BA123" i="46"/>
  <c r="BA118" i="46"/>
  <c r="AT34" i="46"/>
  <c r="AX144" i="46"/>
  <c r="AT23" i="47"/>
  <c r="BA168" i="46"/>
  <c r="BA142" i="46"/>
  <c r="AT130" i="46"/>
  <c r="AT140" i="46"/>
  <c r="BA176" i="46"/>
  <c r="BA48" i="46"/>
  <c r="BA108" i="46"/>
  <c r="AT42" i="46"/>
  <c r="BA85" i="46"/>
  <c r="BA71" i="46"/>
  <c r="AT115" i="46"/>
  <c r="BA97" i="46"/>
  <c r="BA162" i="46"/>
  <c r="AP18" i="47"/>
  <c r="AT20" i="46"/>
  <c r="BA135" i="46"/>
  <c r="AY177" i="46"/>
  <c r="AQ18" i="47"/>
  <c r="AO179" i="46"/>
  <c r="AO58" i="46"/>
  <c r="BA19" i="46"/>
  <c r="AN144" i="46"/>
  <c r="AT160" i="46"/>
  <c r="AR18" i="47"/>
  <c r="BA120" i="46"/>
  <c r="AZ177" i="46"/>
  <c r="AT32" i="47"/>
  <c r="AO24" i="47"/>
  <c r="AT167" i="46"/>
  <c r="AT141" i="46"/>
  <c r="BA170" i="46"/>
  <c r="BA131" i="46"/>
  <c r="BA96" i="46"/>
  <c r="AT169" i="46"/>
  <c r="AT126" i="46"/>
  <c r="BA77" i="46"/>
  <c r="AN18" i="47"/>
  <c r="AT67" i="46"/>
  <c r="AT46" i="46"/>
  <c r="BA68" i="46"/>
  <c r="BA44" i="46"/>
  <c r="AQ144" i="46"/>
  <c r="AO144" i="46"/>
  <c r="BA104" i="46"/>
  <c r="AT104" i="46"/>
  <c r="AT27" i="46"/>
  <c r="AT51" i="46"/>
  <c r="BA58" i="46" l="1"/>
  <c r="AT177" i="46"/>
  <c r="AT33" i="47"/>
  <c r="BA177" i="46"/>
  <c r="AT58" i="46"/>
  <c r="AT179" i="46" s="1"/>
  <c r="BA144" i="46"/>
  <c r="BA179" i="46" s="1"/>
  <c r="AT24" i="47"/>
  <c r="AT144" i="46"/>
  <c r="A6" i="20" l="1"/>
  <c r="A4" i="20"/>
  <c r="A3" i="20"/>
  <c r="A2" i="2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<sst xmlns="http://schemas.openxmlformats.org/spreadsheetml/2006/main" count="1144" uniqueCount="731">
  <si>
    <t>CHN, Shanghai Campus Building 1 RF Project</t>
  </si>
  <si>
    <t>Build General Contractor Works</t>
  </si>
  <si>
    <t xml:space="preserve">Issue Date: </t>
  </si>
  <si>
    <t>Name of Tenderer:__________________________________</t>
  </si>
  <si>
    <t>The direct subcontract packages (contractual parties:  Microsoft and vendor):</t>
  </si>
  <si>
    <t>IT/ AV/ Security (GC to complete conduit work);
System furniture &amp; loose furniture.</t>
  </si>
  <si>
    <t>Items are Included in Main Contract scope of works</t>
  </si>
  <si>
    <t>Listed as below:</t>
  </si>
  <si>
    <t>Construction</t>
  </si>
  <si>
    <t>Electrical/ Plumbing &amp; drainage works</t>
  </si>
  <si>
    <t>Air-conditioning</t>
  </si>
  <si>
    <t>Fire Services</t>
  </si>
  <si>
    <t xml:space="preserve">Material Request </t>
  </si>
  <si>
    <t xml:space="preserve">SOR should based on "FF&amp;E and Internal Finishes Schedule"
</t>
  </si>
  <si>
    <t>Material Sample Board</t>
  </si>
  <si>
    <t xml:space="preserve">Bidders are to submitt material board for review and approval
</t>
  </si>
  <si>
    <t xml:space="preserve">The following descriptions is not to be changed, otherwise, your proposal will not be considered. All the items should be quoted. "0.00" price should be noted with "included" or "not provided", otherwise it will be interpreted as Included, no additional cost will be approved in future. Any new item should be put under the "other" category: 
</t>
  </si>
  <si>
    <t>All item listed is for reference ONLY. Bidder(s) are responsible to validate the quantities in the BOQ and RFP and provide lump sum quotation with comprehensive reflection of the site conditions and the whole work scope. The contract will be a lump sum contract.</t>
  </si>
  <si>
    <t>Cost Summary</t>
  </si>
  <si>
    <t>Construction Area (Sqft)</t>
  </si>
  <si>
    <t>Construction Area (Sqm)</t>
  </si>
  <si>
    <t>PER Budget</t>
  </si>
  <si>
    <t>QS Estimation</t>
  </si>
  <si>
    <t xml:space="preserve">Vendor - A </t>
  </si>
  <si>
    <t>Vendor - B</t>
  </si>
  <si>
    <t>Vendor - C</t>
  </si>
  <si>
    <t>Vendor - D</t>
  </si>
  <si>
    <t>Vendor - E</t>
  </si>
  <si>
    <t>Historical</t>
  </si>
  <si>
    <t>Total Cost (USD)</t>
  </si>
  <si>
    <t>Unit Cost (USD/Sqm)</t>
  </si>
  <si>
    <t>VISUALS</t>
  </si>
  <si>
    <t>Page1</t>
  </si>
  <si>
    <t>Page2</t>
  </si>
  <si>
    <t>Page3</t>
  </si>
  <si>
    <t>Executive Recommendation Card
Cost Variance (Vendor Total Price vs. PER-Budget)</t>
  </si>
  <si>
    <t xml:space="preserve">Executive Decision Dashboard
Cost Variance (Vendor Category Cost vs. QS Estimate )
</t>
  </si>
  <si>
    <t>Executive Decision Dashboard
Cost Variance (Vendor Unit Price vs. Historical Unit Price )</t>
  </si>
  <si>
    <t>Vendor</t>
  </si>
  <si>
    <t>Approval Within PER(±10%)</t>
  </si>
  <si>
    <t>Variance ± 5% - Reasonable</t>
  </si>
  <si>
    <t>Approval with condition（±10%＜Variance≤±20%）
Recommended Value/Potential Savings</t>
  </si>
  <si>
    <t>±5%＜Variance≤±15% – Review required</t>
  </si>
  <si>
    <t>Reject(Variance＞±20%)</t>
  </si>
  <si>
    <t>Variance＞±15% – Significant cost concern</t>
  </si>
  <si>
    <t>Bill of Quantity Introduction</t>
  </si>
  <si>
    <t>The BOQ is applied for CHN, Shanghai Campus Building 1 RF Project.</t>
  </si>
  <si>
    <t>All Chinese and English descriptions are mainly in Chinese.</t>
  </si>
  <si>
    <t>所有的中英文描述均以中文为主。</t>
  </si>
  <si>
    <t>The descriptions given herein are not intended as complete descriptions of the items, but merely as indication of their extent. All details of the various items are as shown on the Drawings and described in the Specification.</t>
  </si>
  <si>
    <t>附表中对各项目之说明并非作为各项目之完整说明，而概括地表示其范围。各项目之所有细则须按照工料规范及招标图纸所述的执行。</t>
  </si>
  <si>
    <t>The Contractor's rates for the items contained in this Schedule of Rates shall be deemed to include cost of all incidentals of labor, material, plant (working or idle), supervision, general attendance, profit and all other things and matters etc. This rates shall be used for the purpose of assessing variations.</t>
  </si>
  <si>
    <t>附表中各项目单价应包括人工、物料及损耗、机械、监督管理、现场、利润及一切按照合同及技术规范要求按时及令发包方满意的完成本工程不可或缺的一切有关的附件及费用等。填报的单价将被作为日后变更评估的依据。</t>
  </si>
  <si>
    <t xml:space="preserve">All item listed is for reference ONLY. Bidder(s) are responsible to validate the quantities in the BOQ and RFP and provide lump sum quotation with comprehensive reflection of the site conditions and the whole work scope. </t>
  </si>
  <si>
    <t xml:space="preserve">BOQ中所有列项及参考数量仅供参考。投标单位需自行核实BOQ的数量和RFP，并提供综合反映现场条件和整个工作范围的总价报价。  </t>
  </si>
  <si>
    <t>The prices inserted by the Contractor are "lump sum" prices and will not be adjusted for any errors in the Contractor's measurement and pricing.</t>
  </si>
  <si>
    <t>投标单位的投标总价为包干价，不会因投标单位的任何量度或报价计算错误而调整。</t>
  </si>
  <si>
    <t>The Contractor shall be fully responsible for the accuracy of the quantities set out in the Schedule of Quantities and Rates on which his Tender has been based. The Contract Sum and rates will not be adjusted, except for the mechanism set out in the tender documents for the frame contracts.</t>
  </si>
  <si>
    <t>对于单价表内之数量及单价，其准确与否的风险归承包单位；除招标文件中为框架合同约定的调价机制外，本合同总价及单价维持不变。</t>
  </si>
  <si>
    <t>The Employer shall not be responsible for any omissions and errors in the description of items.  The onus shall be on the Contractor to check the Tender Documents in details for any omissions and errors.  Should such omissions and errors be discovered at any time, they shall be deemed to have been included in the prices of the relevant items.</t>
  </si>
  <si>
    <t>发包方不会对本附表中的任何项目的缺失或项目描述的错误负责。投标单位须自行检查及复核，任何时候发现有上述缺失或错误，有关费用将被视为已包括于其他相关项目费用中。</t>
  </si>
  <si>
    <t>Whenever the word "Allow" occurs in this Schedule of Rates, the cost of the items shall be at the risk of the Contractor and no adjustment will be made at the settlement of accounts.  In the absence of any price against such items, the cost shall be deemed to be included in the rates of the other items.</t>
  </si>
  <si>
    <t>附表中以“项”计的项目之价款为包干价，其准确与否的风险归承包单位，不论此等项目实际发生的费用与投标单位之估计有多大出入，亦不论有无设计变更，此等费用均不作调整。除非在不需要时，整项扣除。任何项目若没有填上价款的，其所需费用视作已包括在其他项目的价款或工程单价内。</t>
  </si>
  <si>
    <t>The price of "Allow for other works not listed above" are deemed to include for all those works which are not listed in the Schedule of Rates but are required by the Contract according to the Drawings and Specification.  The onus shall be on the Contractor to check for such works and price them in this item.  If no price is inserted here, the costs are deemed to have been spread over the other items proportionately.</t>
  </si>
  <si>
    <t>“未列但图纸和/或规范和/或现场所需要之工作”为单价表内未列明但按招标图纸及技术规范要求所需之项目。投标单位需根据招标图纸及技术规范要求自行检查及填报此等项目。如投标单位未对此项目报价，则有关费用视作已包括在其他项目的价款或工程单价内。</t>
  </si>
  <si>
    <t>The unit rates are to include for all the necessary testing and commissioning, cleaning includes all the materials, instruments, tools, labor in connection therewith.</t>
  </si>
  <si>
    <t>此外,单价亦应包括各必须安装及测试、调核、试运行、清洁的材料、工具及工资(包括节假日，夜班及赶工费用)等费用。</t>
  </si>
  <si>
    <t>Measurement/pricing rules
 计量/计价规则</t>
  </si>
  <si>
    <t>1.0 General 总则</t>
  </si>
  <si>
    <t>1.1 basic rules 基本规则</t>
  </si>
  <si>
    <t>1.1.1 Purpose 目的</t>
  </si>
  <si>
    <t>"The purpose of this "Rules for Calculation of Quantities" is to provide a uniform unit of calculation and a standardized method of measurement for the calculation of quantities in the "Table of Unit Prices of Works", so that the offeror can calculate the quantities of the works and prepare accurate and feasible quotations on the basis of the uniformity. All quantities must be calculated in accordance with these rules, regardless of whether the quantities are provided by the Owner as "tentative quantities" or the quantities are calculated by the Offeror.
 The "Unit Price Statement" describes and defines the nature and content of all billable items in the quantity calculation rules. Each item in the unit price list must be bid in accordance with the requirements and bases of the "Unit Price Statement" and the "Rules for Calculation of Quantities"."
本“工程量计算规则”的目的是为计算“工程单价表”内的数量而提供统一的计算单位和标准的工程计量方法，以便报价人能在统一的基础下自算工程量及编制准确可行的报价。不论是由业主方提供之“暂定数量”项目的工程量，或由报价人自算的工程量，所有工程量必须按照本计算规则来计算。 “单价说明”是针对工程量计算规则中所有计费项目的性质与内容给予描述与定义。工程单价表中各项目必须根据“单价说明”及“工程量计算规则”的要求与依据来投价。</t>
  </si>
  <si>
    <t>1.1.2 unit of measure 计量单位</t>
  </si>
  <si>
    <t>The following units of measure shall be used consistently, unless otherwise indicated later:
除后面另有说明外，须一致采用以下计量单位：</t>
  </si>
  <si>
    <t>(i) Items measured in volume - cubic meters (m3)
以体积为单位之项目－立方米（m3）</t>
  </si>
  <si>
    <t>(ii) Items in terms of area - square meters (sm)
以面积为单位之项目－平方米（sm）</t>
  </si>
  <si>
    <t>(iii) Items in length - meters (lm)
以长度为单位之项目－米（lm）</t>
  </si>
  <si>
    <t>(v) Item in pieces - quantity (nos.)
以件为单位之项目－数量（nos.）</t>
  </si>
  <si>
    <t>(vi) item of work measured in aggregate - item (sum)
综合计量某项工作－项（sum）</t>
  </si>
  <si>
    <t>1.1.3 Unit accuracy of inventory preparation 编制清单的单位精度</t>
  </si>
  <si>
    <t>(1) In case of change or addition or deletion of items, increase or deletion of item quantities shall be calculated to the extent of 0.01 meter, 0.01 square meter, and 0.01 cubic meter.
在项目变更或增减时，项目工程量之增减须计算至0.01米、0.01平米、0.01立米。</t>
  </si>
  <si>
    <t>(2) Dimensions not stated in units in the list description are in millimeters.
在清单说明中未注明单位的尺寸均为毫米。</t>
  </si>
  <si>
    <t>1.1.4 Net value 净值</t>
  </si>
  <si>
    <t>(1) Unless otherwise stated, all items are calculated on a net basis after installation in place, and any wear and tear needs to be taken into account in the composite unit price
除另有说明外，所有项目均以安装就位后的净值计算，任何损耗需要考虑在综合单价中</t>
  </si>
  <si>
    <t>1.1.5 Costs included in the unit price 项目已包括的费用</t>
  </si>
  <si>
    <t>Unless otherwise indicated, the unit price or price for each item shall have included, but not be limited to, the following:</t>
  </si>
  <si>
    <t>(1) Labor and all related costs.</t>
  </si>
  <si>
    <t>(2) Materials, goods, and all related costs (e.g., transportation, delivery, unloading, storage, return of packing materials, handling, hoisting, and lowering).</t>
  </si>
  <si>
    <t>(3) In-situ assembly and installation of materials and goods.</t>
  </si>
  <si>
    <t>(4) Use of construction machinery.</t>
  </si>
  <si>
    <t>(5) All cutting and wastage.</t>
  </si>
  <si>
    <t>(6) Direct costs, risks and charges.</t>
  </si>
  <si>
    <t>(7) All costs required by the government and related agencies/departments.</t>
  </si>
  <si>
    <t>(8) Detailed drawings required for the construction and installation of the work.</t>
  </si>
  <si>
    <t>(9) Cost of consumable materials and appliances used.</t>
  </si>
  <si>
    <t>(10) Difference in cost between large-scale construction and small-scale construction.</t>
  </si>
  <si>
    <t>(11) The cost of liaison and coordination with other contractors, owners, architects, governmental agencies, etc. necessary for the construction.</t>
  </si>
  <si>
    <t>(12) The cost of storage of materials and facilities used in the project and the cost of maintenance and cleaning before completion.</t>
  </si>
  <si>
    <t>(13) All other practices that are not mentioned in the drawings, specifications, unit price lists, or unit price descriptions, but which should be carried out routinely.</t>
  </si>
  <si>
    <t>(14) The cost of extra work where the plan or elevation is curved</t>
  </si>
  <si>
    <t>除另有说明外，每个项目的单价或价款应已包括，但不限于下述内容：</t>
  </si>
  <si>
    <t>（1）人工和一切有关的费用。</t>
  </si>
  <si>
    <t>（2）材料、货物和一切有关的费用（例如运输、交付、卸货、贮存、退还包装材料、搬运、吊升、放下）。</t>
  </si>
  <si>
    <t>（3）材料和货物的就位装配和安装。</t>
  </si>
  <si>
    <t>（4）施工机械的使用。</t>
  </si>
  <si>
    <t>（5）所有的切削和损耗。</t>
  </si>
  <si>
    <t>（6）直接费、风险及规费。</t>
  </si>
  <si>
    <t>（7）所有政府及有关机构/部门要求之费用。</t>
  </si>
  <si>
    <t>（8）为工程的施工与安装绘制所需的详细施工图。</t>
  </si>
  <si>
    <t>（9）使用的易损耗的物料与器具费用。</t>
  </si>
  <si>
    <t>（10）以大规模量施工与小规模施工之费用差别。</t>
  </si>
  <si>
    <t>（11）为施工所必需的与其它承包单位、业主、建筑师、政府部门等的联络与协调费用</t>
  </si>
  <si>
    <t>（12）对该项目所用材料、设施的保管及竣工前的维护与清洁费用。</t>
  </si>
  <si>
    <t>（13）其它一切虽然在图纸、工程规范、工程单价表、单价说明中没有提及但按常规应该实施的做法。</t>
  </si>
  <si>
    <t>（14）平面或立面呈弧型的额外工作费用</t>
  </si>
  <si>
    <t>1.1.6</t>
  </si>
  <si>
    <t>Unless otherwise stated, the unit prices or rates in the schedule of unit prices are applicable to design and construction under all circumstances (i.e., including changes in depth, construction program, site conditions, varying soil quality, underground obstructions, etc.). Therefore, regardless of the circumstances under which the work is designed and constructed, the unit prices or rates in the schedule of unit prices will be the basis for pricing and will not be subject to additional adjustments.
除另有说明外，工程单价表内的单价或价款适用于所有情形下设计并施工（即包括深度变化、施工方案、现场情况、不同土质、地下障碍物等）。所以，不论任何情况下设计并施工，工程单价表内的单价或价款将成为计价的根据，并不会另外作出调整。</t>
  </si>
  <si>
    <t>1.2  specialized term 专用术语</t>
  </si>
  <si>
    <t>1.2.1 item“项”</t>
  </si>
  <si>
    <t>When the word "item" appears in the unit of quantity in the description of the item in the unit price list, the cost of the item is at the risk of the contractor and will not be adjusted at the final account, and if such an item is not quoted, the cost is deemed to have been included in other unit prices/price in the unit price list. If the item has never occurred, the amount of the item reported in the unit price list will be deducted from the final account.
当工程单价表项目说明的数量单位中出现“项”字样，则该项目的造价由承包单位承担风险，决算时不作调整，若此类项目没有报价，造价即视为已包括在工程单价表之其它单价/价款中。如该项目从来没有发生过，则决算时将把填报在单价表内的项目金额全部扣除。</t>
  </si>
  <si>
    <t>1.2.2 Adjustments to the "provisional price" of materials 材料“暂定价款”的调整</t>
  </si>
  <si>
    <t>If the item description of the unit price list of the project appears in the "temporary price of materials", the "temporary price of materials" is only the price of materials delivered to the construction site for the project, the unit price of the project reported by the Contractor in addition to the "temporary price of materials" itself should be included. The unit price quoted by the Contractor for the project shall include, in addition to the price of the "tentative price of materials" itself, the costs of wear and tear, handling, installation, fees, and all other similar materials and operations such as cement, mortar, and other auxiliary materials required.
若工程单价表之项目说明中出现“材料暂定价款”，此“材料暂定价款”只为该项目材料交付到施工现场之价格，承包单位所投报该项目之单价除应包括“材料暂定价款”本身的价额外，还需包括损耗、装卸、安装、规费及所需要的辅助材料如水泥、砂浆等所有其它类似材料和作业的费用。</t>
  </si>
  <si>
    <t>The contract unit price will be adjusted by the net difference between the specified "provisional price of materials" and the "actual price of supply" and the actual cost will be calculated on the basis of the net value of the quantity of work involved in the construction of the project.
该合同单价将按指定的“材料暂定价款”及“实际供应价”之净差调整，并依据建造该项目工程量之净值来计算实际造价。</t>
  </si>
  <si>
    <t>1.2.3 "Provisional number"“暂定数量”</t>
  </si>
  <si>
    <t>Unless specifically provided for in the Rules of Measurement, the quantities do not include any overlaps. For any material requiring varying degrees of overlap, such as reinforcing mesh flexible bedding or similar materials, the unit price quoted shall include the quantity of such overlap and splices.
除非工程计量规则中有特别规定，工程量中是不包括任何重迭量的。任何须有不同程度重迭搭接要求的材料，如钢筋网柔性垫料或类似材料，投报的单价中须已含此等重迭、搭接的数量。</t>
  </si>
  <si>
    <t>2.0 Partition wall and steel frame wall works 隔墙及钢架墙工程</t>
  </si>
  <si>
    <t>2.1 general provision 一般规定</t>
  </si>
  <si>
    <t>2.1.1 Masonry walls shall be calculated in square meters, without distinction as to the type of blocks used, mortar grade and other requirements.</t>
  </si>
  <si>
    <t>2.1.2 Walls of different types and thicknesses shall be calculated separately.</t>
  </si>
  <si>
    <t>2.1.1 砌体墙应以平方米计算，不区分其采用的砌块类型，砂浆级别等要求。</t>
  </si>
  <si>
    <t>2.1.2 不同类型和不同厚度的墙体须分别计算。</t>
  </si>
  <si>
    <t>2.2 Bricks wall 一般砌体</t>
  </si>
  <si>
    <t>2.2.1</t>
  </si>
  <si>
    <t>The area of the wall shall be deducted from the door and window openings and the holes over 0.3 square meters, and the area occupied by the head of the slab of the floor-roof panel of the ring beam over the beam, the structural columns, the gable beams, the horizontal wall parapet beams which are not load-bearing, the awning beams, the pressurized roof, the head of the beam, the beam pads, and the floor-roof panel shall not be deducted. Tiger tiles, finial lines, waistlines, etc., protruding from the wall are also not counted, but are considered to be included in the item.
墙身面积中应扣除门窗洞口和0.3平方米以上的洞孔，不扣除圈梁过梁、构造柱、檐口梁、不承重的卧墙花栏梁、雨篷梁、压顶、梁头、梁垫、楼屋面板的板头所占的面积。突出墙面的虎头砖、压顶线、腰线等也不计算，但视为已包含在该项目内。</t>
  </si>
  <si>
    <t>2.2.2</t>
  </si>
  <si>
    <t>Walls that are circular in plan are measured in area by their average length and are itemized separately.
平面呈圆弧状的墙体以其平均长度来计量面积并单独立项。</t>
  </si>
  <si>
    <t>2.2.3</t>
  </si>
  <si>
    <t>Structural columns &amp; ring beams: need to meet the national norms for setting up
构造柱&amp; 圈梁：需要满足国家规范进行设置</t>
  </si>
  <si>
    <t>2.3 Unit prices for all masonry work shall be included 所有砌体工程之单价须包括：</t>
  </si>
  <si>
    <t xml:space="preserve">2.3.1 </t>
  </si>
  <si>
    <t>Each item of brick masonry, block wall and finish shall have included all cutting of bricks, trimming of clear surfaces, laying out of brick waist lines and recessed markers, leveling of arches and installation of leveling forms, tucking of bricks under blocks and beams, placing of wood bricks, adjusting of erected wood window and door frames, adjusting of mortar for holes in the flue, sealing of cornices, checking of hanging wires, laying of window and door casings, cutting of bricks at the head of corners, cutting of grooves, outlining of raised and recessed joints, leaving of holes and tongue-and-groove joints, and repairing and any other incidental items of a similar nature.
每项砖砌体、砌块墙体和饰面内均应已包括所有砍砖、修整净面、砌出砖腰线和凹进标线、平拱及安装平拱模板、按块和梁板下塞砖、安放木砖、调整立好后的木门窗框、烟道内孔调抹砂浆、封檐、吊线检查、砌门窗套、墙角按头砍砖、开槽口、勾凸凹缝、留孔洞和榫眼、以及修复和任何其他类似性质的零星项目。</t>
  </si>
  <si>
    <t xml:space="preserve">2.3.2 </t>
  </si>
  <si>
    <t>The entire process of preparing materials, dripping bricks, mixing mortar, laying mortar, brick masonry, hanging lines, keeping mortar joints full and straight, and sweeping walls.
准备材料、淋砖、拌合砂浆、铺砂浆、砖砌石、挂线、灰缝保持饱满、平直、清扫墙面等全部操作过程。</t>
  </si>
  <si>
    <t xml:space="preserve">2.3.3 </t>
  </si>
  <si>
    <t>Tie reinforcement at masonry wall corners at intersections with columns/slabs, etc., anchors, etc. The wall project also includes the necessary wire mesh, reinforcement, slots and holes.
砌体墙转角处与柱/板等交接处的拉结钢筋，锚固件等。墙体项目还包括所必需的钢丝网、加固件及开槽、孔等内容。</t>
  </si>
  <si>
    <t>2.3.4</t>
  </si>
  <si>
    <t>The unit price of all hollow block walls shall include the use of solid blocks or cement mortar for door/window side closets, wire mesh reinforcement, and wall panel intersections. Ties, anchors, etc. between hollow walls are also considered to be included.
所有空心砖墙之单价须包括在门/窗侧壁橱，在钢丝网加固处，及墙板交接处使用实心砌块或用水泥砂浆封填整齐。空心墙体间的拉结件、锚固件等也认为已包括在内了。</t>
  </si>
  <si>
    <t>2.4 Gypsum partition 石膏板隔墙</t>
  </si>
  <si>
    <t xml:space="preserve">2.4.1 </t>
  </si>
  <si>
    <t>The skeleton and gypsum board faces (or other panel materials) of all gypsum boards and other lightweight partitions will not be measured separately, but gypsum boards and other lightweight partitions of different thicknesses, rock wool capacities and assembly methods will be counted separately on a square meter basis.
所有石膏板及其他轻质隔墙的骨架与石膏板面(或其他面板材料)不会分开计量，而是按不同厚度、岩棉容重及组装方法分别以平方米计算。</t>
  </si>
  <si>
    <t xml:space="preserve">2.4.2 </t>
  </si>
  <si>
    <t>Gypsum boards and other lightweight partition walls of different types and thicknesses shall be calculated separately.
不同类型和不同厚度的石膏板等轻质隔墙须分别计算。</t>
  </si>
  <si>
    <t>2.4.3</t>
  </si>
  <si>
    <t>The calculated area of the skeleton and panel faces shall be reduced by all holes (including window and door openings) exceeding 0.3 square meters.
骨架及板面的计算面积应扣除所有超过0.3平方米的洞孔（包括门窗洞口）。</t>
  </si>
  <si>
    <t>2.4.4</t>
  </si>
  <si>
    <t>The unit price for all lightweight partition walls includes the following:
所有轻质隔墙的单价已包括下述内容：</t>
  </si>
  <si>
    <t>(1) Comprehensive cost of material transportation, shearing, cutting, installation, and painting.</t>
  </si>
  <si>
    <t>(2) Rivets, screws, expansion screws, and member pre-burials shall be included in the item.</t>
  </si>
  <si>
    <t>(3) Treatment of joint opening shall be included in the project of panel.</t>
  </si>
  <si>
    <t>(4) Additional materials, embedded parts and treatments required at the intersection with brick/concrete wall columns or floor slabs.</t>
  </si>
  <si>
    <t>(5) Cavity should include the system partition &amp; door, movable partition (supporting steel frame rail is included in movable partition, provided by the manufacturer), etc. and the additional reinforcement of the top surface required for all costs.</t>
  </si>
  <si>
    <t>（1）材料运输、剪裁、割切、安装、油漆等综合费用。</t>
  </si>
  <si>
    <t>（2）铆钉、螺丝、膨胀螺丝、构件预埋件等均应包括在项目内。</t>
  </si>
  <si>
    <t>（3）接缝口之处理应包括在板面的项目内。</t>
  </si>
  <si>
    <t>（4）与砖/混凝土墙柱或楼板之交接处所需之额外物料、埋件及处理等。</t>
  </si>
  <si>
    <t>（5）调腔需包含系统隔断&amp;门，活动隔断（配套钢架轨道含在活动隔断，由厂家自行提供）等与顶面额外加固所需一切费用</t>
  </si>
  <si>
    <t>2.5 Glass partition and window works 玻璃隔断及窗工程</t>
  </si>
  <si>
    <t>2.5.1</t>
  </si>
  <si>
    <t>All glass partitions shall be calculated in square meters by separate items according to different materials, and their thickness shall be indicated.
所有玻璃隔断应按材质不同分别立项以平方米计算，并注明其厚度。</t>
  </si>
  <si>
    <t>2.5.2</t>
  </si>
  <si>
    <t>The calculated area of all glass partitions shall be deducted from all holes exceeding 0.3 square meters (including window and door openings).
所有玻璃隔断的计算面积应扣除所有超过0.3平方米的洞孔（包括门窗洞口）</t>
  </si>
  <si>
    <t>2.5.3</t>
  </si>
  <si>
    <t>The unit price for all glass partitions includes the following 所有玻璃隔断的单价已包括下述内容：</t>
  </si>
  <si>
    <t>(1) The cost of glass and glass partition metal border.</t>
  </si>
  <si>
    <t>(2) Comprehensive costs of material transportation, cutting, loss, installation, etc.</t>
  </si>
  <si>
    <t>(3) Costs of rivets, screws, expansion screws, pre-embedded parts, sealing tape, sealant, etc., and installation of nails, screws, components and anti-rust treatment.</t>
  </si>
  <si>
    <t>(4) All the costs required for connection and fixing with the ground and the top surface</t>
  </si>
  <si>
    <t>(5) Costs of reinforcement and pre-burial for other installation items.</t>
  </si>
  <si>
    <t>(6) Costs for the treatment of joints and corner glass silicone corner guards, etc.</t>
  </si>
  <si>
    <t>(7) Costs of additional materials, embedded parts and treatments required at the junction with block/lightweight partition walls/concrete columns or floor slabs.</t>
  </si>
  <si>
    <t>(8) Costs for completing the curved shapes required in the drawings.</t>
  </si>
  <si>
    <t>(9) The cost of metal structure support, stainless steel fixing and fixing plate required in the drawings.</t>
  </si>
  <si>
    <t>(10) The cost of supplying, transporting, installing, cutting, wearing out, electric devices (if any) for the louvers between the double glazing.</t>
  </si>
  <si>
    <t>(11) All the costs required to complete other work required for the glass partition according to the drawings and technical specifications.</t>
  </si>
  <si>
    <t>（1）玻璃、玻璃隔断金属边框费用。</t>
  </si>
  <si>
    <t>（2）材料运输、割切、损耗、安装等综合费用</t>
  </si>
  <si>
    <t>（3）铆钉、螺丝、膨胀螺丝、预埋件、密封胶条、密封胶等费用，及安装用的钉、螺丝、构件及防锈处理等费用。</t>
  </si>
  <si>
    <t>（4）与地面及顶面连接、固定所需一切费用</t>
  </si>
  <si>
    <t>（5）为其他安装项目所需的加固、预埋等费用。</t>
  </si>
  <si>
    <t>（6）接缝口之处理、转角处玻璃硅胶护角等费用</t>
  </si>
  <si>
    <t>（7）与砌块/轻质隔墙／混凝土墙柱或楼板之交接处所需之额外物料、埋件及处理等费用。</t>
  </si>
  <si>
    <t>（8）完成图纸中要求的曲线造型所需费用</t>
  </si>
  <si>
    <t>（9）完成图纸中要求的金属结构支撑、不锈钢固定件、固定板所需费用。</t>
  </si>
  <si>
    <t>（10）双玻间的百叶的供应、运输、安装、裁切、损耗、电动装置（如有）等费用。</t>
  </si>
  <si>
    <t>（11）所有按照图纸、技术规范规定完成玻璃隔断所需的其它工作所需之费用。</t>
  </si>
  <si>
    <t>3.0 Door and Rolling Shutter Engineering 门与卷帘工程</t>
  </si>
  <si>
    <t>3.1 Door part 门部分</t>
  </si>
  <si>
    <t>3.1.1 general provision 一般规定</t>
  </si>
  <si>
    <t>(1) Doors shall be calculated in accordance with the gage</t>
  </si>
  <si>
    <t>(2) Doors of different types, number of sectors and materials shall be calculated separately.</t>
  </si>
  <si>
    <t>(3) The number of doors, the number of paneling surfaces, the manner of opening, the size and shape of the doors, and the characteristics of the hardware shall be described in as much detail as possible in the project.</t>
  </si>
  <si>
    <t>(4) Hardware or other devices installed on the door shall be calculated in sets and listed separately._x000D_
      (Note: 1. Door handles/pulls on both sides of the door, inside and outside, are considered together as a set)</t>
  </si>
  <si>
    <t>(5) Doors with special finishing requirements (e.g. with linen or leather wrapped surfaces, etc.) shall be given a detailed description within the project, but shall be consolidated into the unit price of the door, and shall not be calculated as an additional cost in a separate item.</t>
  </si>
  <si>
    <t>(6) For special finishes in the original doors and windows (such as with linen or leather, paint, etc.) should be measured separately into the doors and windows project.</t>
  </si>
  <si>
    <t>（1）门按照樘计算</t>
  </si>
  <si>
    <t>（2）不同类型、不同扇数、不同材料的门应分别计算。</t>
  </si>
  <si>
    <t>（3）在项目中应尽可能详细说明门的扇数、镶板面数、开启方式、尺寸形状及五金配件等特性。</t>
  </si>
  <si>
    <t>（4）门上安装的五金或其他装置，应以套计算并单独列项。      (注:1. 门内外两侧的门把手/拉手合计按一套考虑)</t>
  </si>
  <si>
    <t>（5）有特殊饰面要求的门（如带亚麻布或皮包面等）应在项目内给予详细说明，但应综合计算入门单价中，不作为额外费用另立项计算。</t>
  </si>
  <si>
    <t>（6）对于在原有门窗的特殊饰面（如带亚麻布或皮包面、油漆等）应单独计量纳入门窗工程。</t>
  </si>
  <si>
    <t xml:space="preserve">3.1.2 Unit prices for all door items include the following 所有门项目的单价已包括下述内容：
</t>
  </si>
  <si>
    <t>(1) The costs of fabrication, transportation, storage, maintenance, installation, painting, testing, and cleaning have been combined within the project.</t>
  </si>
  <si>
    <t>(2) Similar costs for door frames, doors, glass, etc. have been included within each item.</t>
  </si>
  <si>
    <t>(3) All nailing, gluing, screw installation, cutting, beveling or rounding corners, notching, drilling, making end staggered mortise and tenon, making lap mortise and tenon, cutting corners, making geometric ends, turning corners, joining, end jointing, shorting mullions, and any other incidental items of a similar nature have been included within the project.</t>
  </si>
  <si>
    <t>(4) Sanding, priming, painting, staining, etc. are also included.</t>
  </si>
  <si>
    <t>（1）项目内已综合了制作、运输、保管、维护、安装、油漆、测试、清洁等费用。</t>
  </si>
  <si>
    <t>（2）每个项目内均已包括了门框、门扇、玻璃等类似费用。</t>
  </si>
  <si>
    <t>（3）项目内已包括所有钉、胶、螺钉安装、截料、做斜面或圆角、开槽口、钻眼、做端部错口榫、做搭接榫、割角、做几何形端部、转角、  连接、端接、短木条和类似性质的任何其他零星项目。</t>
  </si>
  <si>
    <t>（4）磨光、打底、油漆、上色等也已包括在内。</t>
  </si>
  <si>
    <t>3.2 Roller shutter door 卷帘门工程</t>
  </si>
  <si>
    <t>3.2.1 general provision 一般规定</t>
  </si>
  <si>
    <t>Rolling doors are measured by the area of the door opening, and different types of rolling doors shall be measured separately.
卷帘门按门洞面积计量，不同种类的卷帘门须单独计量。</t>
  </si>
  <si>
    <t>3.2.2 Unit rate 卷帘门项目的单价</t>
  </si>
  <si>
    <t>（The unit price for a (fireproof) roller shutter is deemed to include the cost of all elements required for the shutter, shutter box, supports, fixings, connectors, positioning, undercutting, cutting, application of fire/corrosion protection paint, tracks, motors, columns, fabrication and installation, and sizing of the portion of the door opening larger than the area of the doorway.
（防火）卷帘的单价被视为包含了卷帘、卷帘箱、支撑、固定件、连接件、定位、下料、裁切、涂刷防火/防腐漆、轨道、电机、立柱、制作安装、以及大于门洞面积部分的尺寸等所需全部内容的费用。</t>
  </si>
  <si>
    <t xml:space="preserve">3.2.3 sunshade roller blinds  遮阳卷帘 </t>
  </si>
  <si>
    <t>Sunshade according to the dimensions shown in the window opening area measurement, the required fabrics, transmission mechanism (including but not limited to the tail plug bracket, drive bracket, tail plug, barge chain box, bead chain limit, bead chain, roll tube (curtain track), external flat bottom rod cap, external flat low rod), cover, shade edge groove, shade groove mounting base, power tail plug bracket, booster, and so on should be considered in the unit price of the curtains and sunshade comprehensive. If it is a motorized sunshade roller blind, its motorized operating system to "table" or "set of" another item measurement.
遮阳帘按图示尺寸以窗洞口面积计量，所需面料、传动机构(包括但不限于尾插托架、驱动托架、尾插、驳链盒、珠链限位、珠链、卷管(窗帘轨道)、外置扁底杆帽、外置扁低杆)、盖板、遮光边槽、遮光槽安装座、助力尾插托架、助力装置等均应于窗帘及遮阳帘单价内综合考虑。若为电动遮阳卷帘，其电动操作系统以“台”或“套”另外列项计量。</t>
  </si>
  <si>
    <t xml:space="preserve">3.2.4 Decorative fabric curtains 装饰布帘 </t>
  </si>
  <si>
    <t>According to the dimensions of the design drawings to the projected area measurement, fold rate must be considered in the comprehensive unit price, curtain track according to the extension of meters measured separately. In case of motorized decorative curtains, the motorized operation system is measured separately as "table" or "set".
按设计图示尺寸以投影面积计量，褶皱率须于综合单价中考虑，帘轨按延长米单独计量。若为电动装饰帘，其电动操作系统以“台”或“套”另外列项计量。</t>
  </si>
  <si>
    <t>3.2.5 Curtain Boxes and Curtain Rails 窗帘盒与窗帘轨</t>
  </si>
  <si>
    <t>"a) Light tape (trough), projection screen box and curtain box do not distinguish between L-type, U-type, etc., according to the size of the design drawings to the meter, the unit of measurement is "m". Paint is not measured separately, but should be included in the comprehensive unit price of light tape (trough), projection screen box and curtain box.
b) If the curtains are roll-up curtains, the curtain track (roll-up tube) is not measured separately and should be included in the area of curtains or shades."
a) 灯带(槽)、投影幕盒及窗帘盒不区分L型、U型等，按设计图示尺寸以延米计算，计量单位为“m”。油漆不单独计量，应计入 灯带(槽)、投影幕盒及窗帘盒之综合单价。
b) 若窗帘为卷帘，则其窗帘轨(卷管)不另列项计量，应纳入窗帘或遮阳帘面积内。</t>
  </si>
  <si>
    <t>4.0 Finishes 饰面工程</t>
  </si>
  <si>
    <t>4.1 general provision 一般规定</t>
  </si>
  <si>
    <t xml:space="preserve">4.1.1 </t>
  </si>
  <si>
    <t>Unless otherwise specified, all kinds of decorative plasters, veneered surfaces and special mortar plasters are calculated on the basis of square meters.
除另有说明外，各种装饰抹灰、镶贴面层及特种砂浆抹灰均按平方米计算。</t>
  </si>
  <si>
    <t xml:space="preserve">4.1.2 </t>
  </si>
  <si>
    <t>Plastering projects have generally included the following processes: squaring of shaded corners, setting of marking bars, leveling in layers, trimming, and surface calendering.
抹灰浆项目一般已包括了如下工序：阴阳角找方，设置标筋，分层赶平、修整、表面压光。</t>
  </si>
  <si>
    <t xml:space="preserve">4.1.3 </t>
  </si>
  <si>
    <t>Painting project to paint the number of times sub-projects, each brush oil before the necessary operation process such as wet powder paint batch embedded, grinding sandpaper, etc. have been included, can not be counted for the number of times. There are grinding back, out of the bright or rub the wrong paint requirements, should be done in full, should not be counted separately. The paint of the new work will not be measured separately, but should be included in the unit price of different decorative layers.
油漆工程以涂刷油漆遍数分项，每遍刷油前的必要操作过程如润粉油漆批嵌、磨砂纸等均已包括在内，不能作遍数算。有磨退、出亮或擦错等要求的油漆，均应全做，不应另计。新作工程的油漆不会单独列项计量，而应包括在不同装饰层单价中。</t>
  </si>
  <si>
    <t xml:space="preserve">4.1.4 </t>
  </si>
  <si>
    <t>Finishing items for the floor, interior and exterior walls, ceiling, etc. should be calculated separately.
楼地面，内、外墙面、天棚等的饰面项目应分别计算。</t>
  </si>
  <si>
    <t xml:space="preserve">4.1.5 </t>
  </si>
  <si>
    <t>The color factor has been taken into account in all types of finishing items and is no longer billed for changes in finish color.
各类饰面项目中已考虑了颜色因素，不再为饰面颜色的变化而计费。</t>
  </si>
  <si>
    <t xml:space="preserve">4.1.6 </t>
  </si>
  <si>
    <t>The unit price for marble slabs and granite slabs shall include the cost of cutting and laying, and the cost of applying antifouling agent to all surfaces of the stone.
大理石板及花岗石板的单价应包括切割和铺砌费用、石材各面涂刷防污剂的费用。</t>
  </si>
  <si>
    <t>4.2 Floor finihses 楼地面饰面项目</t>
  </si>
  <si>
    <t xml:space="preserve">4.2.1 </t>
  </si>
  <si>
    <t>All kinds of surfaces are calculated according to the actual covered area, to deduct the main wall, wall, columns, brick stacks, attached wall chimneys, etc., should also be deducted protruding from the ground equipment foundations, underground structures, trench, indoor railroad, elevator shafts and pipeline holes, etc., the area occupied by the area.
各种面层均按实际覆盖面积计算，要扣除主墙、间壁墙、柱、砖垛、附墙烟囱等所占面积，还应扣除突出地面的设备基础，地下构筑物、地沟、室内铁道、电梯井及管道孔等所占的面积。</t>
  </si>
  <si>
    <t>4.2.2</t>
  </si>
  <si>
    <t>Stair surfaces are measured according to their unfolded area.
楼梯面层按照其展开面积进行计量。</t>
  </si>
  <si>
    <t>4.2.3</t>
  </si>
  <si>
    <t>Skirting divided into different heights according to the actual extension of the meter to calculate, should be as far as possible to explain the height of the skirting and practice. The skirting at the position of fixed furniture is not to be measured and should be included in the consideration of the comprehensive unit price of fixed furniture.
踢脚线分不同高度按实际延长米来计算，应尽可能说明踢脚线的高度与做法。固定家具位置的踢脚不需计量，应纳入固定家具综合单价考虑。</t>
  </si>
  <si>
    <t>4.2.4</t>
  </si>
  <si>
    <t>The leveling layer and bonding layer of the lower part of the various surfaces are not separately itemized and are included in the surface finishes.
各种面层下部的找平层、结合层均不单独列项，含在面层饰面内。</t>
  </si>
  <si>
    <t>4.2.5</t>
  </si>
  <si>
    <t>Floor waterproofing is calculated in square meters according to the dimensions shown.
地面防水层按照图示尺寸以平方米计算。</t>
  </si>
  <si>
    <t>4.2.6</t>
  </si>
  <si>
    <t>The unit price for terrazzo paving wall finishes shall include the addition of reinforcing steel bands in concave circles, etc., matching of colors to the design, making of patterns and polishing, etc., and including polishing of terrazzo before handing over to the building.
水磨石铺面墙饰面单价须包括在凹圆等地方加钢筋纲带、按设计搭配颜色、做花纹图案和磨光等工作及包括移交建筑物前磨光水磨石。</t>
  </si>
  <si>
    <t>4.2.7</t>
  </si>
  <si>
    <t>Unit prices in all types of tile laying, drywall and sheetrock finishes shall include work such as trenching and hole repair.
各类铺砖、干板及薄板饰面中单价须包括开槽、开孔修复等工作。</t>
  </si>
  <si>
    <t>4.2.8</t>
  </si>
  <si>
    <t>The unit price for bricklaying shall further include bindery layer.
铺砖之单价须进一步包括粘结层。</t>
  </si>
  <si>
    <t>4.3 Wall finishes 内墙面</t>
  </si>
  <si>
    <t xml:space="preserve">4.3.1 </t>
  </si>
  <si>
    <t>Internal wall finishes are calculated by the covered area of the wall. When there is no ceiling, the workload is calculated according to the design requirements; when there is a ceiling, the height is calculated to the bottom of the ceiling (paint finish is calculated to the bottom of the ceiling). But need to deduct the corresponding door and window holes in the area, not deducted within 0.3 square meters of the holes and walls and components of the area of the junction, the hole side walls do not increase, the side walls of the inner wall stack should be expanded calculation, and into the corresponding finish items.
内墙面饰面以墙身被覆盖面积计算。无吊顶时，按设计要求计算工作量；有吊顶时，高度计算至吊顶底面（涂料饰面则计算至吊顶底）。但需扣除相应门洞与窗洞的面积，不扣除0.3平方米以内的孔洞和墙与构件交接处面积，洞口侧壁不增加，内墙垛的侧壁应展开计算，并入相应的饰面项目内 。</t>
  </si>
  <si>
    <t>4.3.2</t>
  </si>
  <si>
    <t>The finishes of reinforced concrete columns and beams can be calculated together if they are the same as the corresponding interior wall finishes.
钢筋混凝土柱、梁的饰面如与相应的内墙饰面相同，可以一起计算。</t>
  </si>
  <si>
    <t xml:space="preserve">4.3.3 </t>
  </si>
  <si>
    <t>The materials of cement mortar corner guards, light steel corner guards and metal mesh at the junction of different subfloors have been included in the item of plastered finishes and will not be calculated separately. If there are external steel/wood corner guards, they should be calculated as extra cost in a separate item.
墙身水泥砂浆护角线、轻钢护角、不同底层交接处的金属拉网的工料已包括在抹灰饰面的项目内，不另计算。有外包钢/木护角时，应作为额外费用另立项目计算。</t>
  </si>
  <si>
    <t xml:space="preserve">4.3.4 </t>
  </si>
  <si>
    <t>Unless otherwise specified, wallpaper, wood finishes, soft package finishes, such as grass-roots keel is not a separate item, and does not take into account the thickness of different parts of the keel, the layout of the changes in the unit price are integrated in the finish area.
除另有说明外，壁纸、木饰面、软包饰面等基层龙骨不单独列项，亦不考虑不同部位龙骨厚度、布置方式之变化，单价均综合在饰面面积内。</t>
  </si>
  <si>
    <t>4.3.5</t>
  </si>
  <si>
    <t>The unit price for marble/granite slabs/artificial stone finishes shall include anchors for connection to concrete.
大理石/花岗石板/人造石饰面单价须包括与混凝土连接的锚固件。</t>
  </si>
  <si>
    <t>4.4 Ceiling finishes 天棚饰面</t>
  </si>
  <si>
    <t xml:space="preserve">4.4.1 </t>
  </si>
  <si>
    <t>The area of ceiling finish is calculated according to the projected area of the actual drawing. Deduct the area occupied by walls, columns, stacks, chimneys attached to walls, ventilation ducts, inspection holes, holes for lamps and lanterns of more than 0.3 square meters, pipelines, lines and so on. For sloping or arched canopies, the area is calculated according to the unfolded area.
天棚饰面面积按实际图示投影面积计算。扣除墙、柱、垛、附墙烟囱、通风道、检查孔、0.3平方米以上的灯具孔洞，管道、线条等所占的面积。对有坡度或拱形的天棚按展开面积计算。</t>
  </si>
  <si>
    <t>For bare roof spraying, the plane part of the projected area of the canopy and the height of the wall extending to the top plate of the structure of the illustrated part of the measurement, and for the side of the beam and the canopy parts of the other equipment, pipelines, and other surface spraying is not another calculation of the amount of work to be integrated in the bare roof spraying comprehensive unit price to be taken into account.
对于裸顶喷涂，平面部分按天棚投影面积及延伸至结构顶板的墙面图示部分高度计量，而对于梁侧及天棚部位其他的设备、管线等表面喷涂则不另计算工程量，需综合在裸顶喷涂综合单价中考虑。</t>
  </si>
  <si>
    <t xml:space="preserve">4.4.2 </t>
  </si>
  <si>
    <t>The clear height of the beams under the canopy shall be considered to have been included in the unit price of the canopy item.
天棚下梁的净高应视为已包括在天棚项目单价内。</t>
  </si>
  <si>
    <t xml:space="preserve">4.4.3 </t>
  </si>
  <si>
    <t>The ceiling finish has included the cost of rounded corners and edge strips at the junction with the wall, but the decorative strips are not included. If there are decorative line boards, they will be calculated separately according to their extension meters, and the area covered behind the line boards will not be deducted from the finishing items.
天棚饰面已包括在与墙身交接处做圆角、收边条的费用，但饰条不包括在内。如有装饰线板，则按其延长米另行计算，线板后所覆盖的面积不从饰面项目中扣除。</t>
  </si>
  <si>
    <t xml:space="preserve">4.4.4 </t>
  </si>
  <si>
    <t>The bottom plaster of staircase board must be calculated according to its actual area, but the beams under the staircase board and resting platform can no longer be calculated, and are considered to have been included in the project. At the same time, the area of the blocking plate on the side of the tread is not calculated separately.
楼梯板底面抹灰必须按其实际面积计算，但楼梯板与休息平台下的梁可不再计算，认为已包含在项目内了。同时，踏步侧面堵板的面积也不另外计算。</t>
  </si>
  <si>
    <t xml:space="preserve">4.4.5 </t>
  </si>
  <si>
    <t>The area of the ceiling must be calculated according to the actual area, and the area of the internal partition walls, columns, etc. should be deducted.
天棚吊顶面积须按实计算，要扣除内隔墙、柱等的面积。</t>
  </si>
  <si>
    <t>5.0 Electrical 电气工程</t>
  </si>
  <si>
    <t>5.1 general provision 一般规定</t>
  </si>
  <si>
    <t>5.1.1</t>
  </si>
  <si>
    <t>Unless otherwise stated, all materials/equipment shall be supplied and installed in accordance with the drawings, relevant technical specifications or special instructions (if any) and all costs incurred in connection therewith are included in the unit price.
除另有说明外，所有材料／设备的供应及安装均需满足图纸、有关技术规范或特别说明（如有）之要求，并且以上所发生的一切费用均已包含在单价之内。</t>
  </si>
  <si>
    <t>5.1.2</t>
  </si>
  <si>
    <t>The quantities in the unit price list are based on the design intent, general provisions and location of materials/equipment as shown on the drawings. All quantities are calculated on a projected area basis and all additional work required to accommodate structural and architectural elevation differences shall be included in the unit price.
工程单价表内的工程量是根据图纸所显示的设计意图、一般规定及材料／设备之位置计算所得。所有工程量均以投影面积计算，一切为适应结构和建筑高差所需的额外工作均应包含在单价中。</t>
  </si>
  <si>
    <t>5.1.3</t>
  </si>
  <si>
    <t>The drawings show only the design intent and conventional routes and locations. The Contractor shall contact and cooperate with the Design Office and all designated contractors/independent contractors to determine their exact locations. The Contractor shall also complete overall MEP coordination drawings for approval by the Owner/Designer.
图纸只显示其设计意图及常规的路线及位置。承包单位须与设计院及所有的指定承包商／独立承包商联系及配合，以确定其准确位置。承包单位还须完成总体的机电设备综合协调图纸供业主／设计单位审批。</t>
  </si>
  <si>
    <t>5.1.4</t>
  </si>
  <si>
    <t>The Contractor shall cooperate with other Specified Contractors/Independent Contractors and coordinate the workmanship requirements of all Specified Contractors/Independent Contractors in an integrated manner, and if the Special Requirements of a Specified Contractor/Independent Contractor are limited by architectural/structural space constraints, such Specified Contractor/Independent Contractor shall modify its design to the satisfaction of the Owner.
承包单位须与其他指定承包商／独立承包商配合，并综合协调所有指定承包商／独立承包商之工艺要求，如指定承包商／独立承包商的特殊要求受到建筑/结构空间的限制，则该指定承包商／独立承包商应修改其设计并达到业主满意为止。</t>
  </si>
  <si>
    <t>5.1.5</t>
  </si>
  <si>
    <t>Except for design modifications/changes, all displacements and changes in size of pipes, fittings, pre-buried fittings, pre-drilled holes, etc. shall be fully included in the unit price of the work.
除设计修改/变更，所有管道、管件、预埋件、预留洞等的移位、尺寸改变等应全部包含在工程单价之内。</t>
  </si>
  <si>
    <t>5.1.6</t>
  </si>
  <si>
    <t>All parts, fittings and accessories, if any, required for the proper installation of the Work, whether or not shown on the Owner's Requirements, Drawings, Specifications/Special Instructions (if any), these Rules for Calculating Quantities, or the Item Description, shall be included in the unit price of the Work.
所有为正确安装本工程内容所需的任何的部件、配件及附件，无论是否在业主需求、图纸、技术规范／特别说明（如有）、本工程量计算规则中或项目说明中显示，均应包含在工程单价之内。</t>
  </si>
  <si>
    <t>5.1.7</t>
  </si>
  <si>
    <t>If there is any inconsistency between what is shown in the unit price list and the national standard specifications, and if said inconsistency has been specifically stated in the description of the unit price list or in the rules and instructions for measurement of the unit price list, it shall be deemed to have been accepted by the Contractor.
如工程单价表中所显示的内容与国家标准规范有不一致，而且上述的不一致已在工程单价表的描述中或工程单价表计量规则及说明中已有特别说明，均视为已被承包单位接受。</t>
  </si>
  <si>
    <t>5.1.8</t>
  </si>
  <si>
    <t>The term "supply price" shall have the following meaning:</t>
  </si>
  <si>
    <t>a) The Contractor is responsible for supplying the item;</t>
  </si>
  <si>
    <t>b) Includes loading, unloading and transportation of the goods to the Owner's designated location and is responsible for inspection, acceptance, removal to storage and protection of equipment and materials on site;</t>
  </si>
  <si>
    <t>c) Secondary handling to the designated location;</t>
  </si>
  <si>
    <t>d) Be responsible for replacing all nonconforming materials as required.</t>
  </si>
  <si>
    <t>“供应价”一词的含义应包括下列内容：</t>
  </si>
  <si>
    <t>a) 承包单位负责供应该项目；</t>
  </si>
  <si>
    <t>b) 包含装卸货物并运输至业主指定地点，并负责检查验收、搬运至仓库以及对到场设备、材料加以保护；</t>
  </si>
  <si>
    <t>c) 二次搬运至指定地点；</t>
  </si>
  <si>
    <t>d) 负责按要求更换所有不合格的材料。</t>
  </si>
  <si>
    <t>5.1.9</t>
  </si>
  <si>
    <t>The meaning of the term "installation price" shall include the following:</t>
  </si>
  <si>
    <t>a) Responsibility for transportation to the site, loading and unloading, inspection, acceptance, removal to storage, and protection of equipment and materials at the site;</t>
  </si>
  <si>
    <t>b) Responsibility for secondary transportation to designated locations for processing, fixing and installation;</t>
  </si>
  <si>
    <t>c) Responsible for supplying and installing auxiliary materials and all spare parts;</t>
  </si>
  <si>
    <t>d) Responsible for the replacement of all non-conforming materials;</t>
  </si>
  <si>
    <t>e) Responsible for the storage and replacement of all damaged materials and equipment, all of the above costs are included in the unit price.</t>
  </si>
  <si>
    <t>“安装价”一词的含义应包括如下内容：</t>
  </si>
  <si>
    <t>a) 负责运送至工地现场、装卸、检查、验收、搬运至仓库以及对现场设备、材料加以保护；</t>
  </si>
  <si>
    <t>b) 负责二次搬运至指定地点加工、固定及安装；</t>
  </si>
  <si>
    <t>c) 负责供应及安装辅材及所有零配件；</t>
  </si>
  <si>
    <t>d) 负责更换所有不合格的材料；</t>
  </si>
  <si>
    <t>e) 负责保管及更换所有损坏的材料及设备，以上费用全部包含在单价之内。</t>
  </si>
  <si>
    <t>5.2   Equipment and Controls 设备及控制装置</t>
  </si>
  <si>
    <t xml:space="preserve">5.2.1 </t>
  </si>
  <si>
    <t>Equipment and controls shall be specified and referenced to the relevant design requirements on a per-piece basis.
设备及控制装置应予以说明并引用有关之设计要求按件计算。</t>
  </si>
  <si>
    <t xml:space="preserve">5.2.2 </t>
  </si>
  <si>
    <t>The unit price for the installation of all equipment and control devices includes the brackets, vibration isolators, basic steel sections, acoustic and vibration isolation materials, wooden boxes, mounting, fixing, wiring, earthing, insulation testing, all accessories, identification plates and markings, commissioning, etc., which are to be used for the equipment.
所有设备及控制装置之安装单价已包含用于该设备之支架、防震架、基础型钢、隔音及防震材料、木套箱、安装、固定、接线、接地、绝缘测试、所有附件、识别牌与标记、调试等。</t>
  </si>
  <si>
    <t>5.2.3</t>
  </si>
  <si>
    <t>The unit price for the supply of all equipment and control devices includes the box, contactors, all kinds of switches, fuses, and all necessary electrical components, busbar, busbar, wire trough, wires, conduits, and phase connection, connection and branching, as well as the supply of grounding fittings and all necessary accessories, and the on-site service of the distribution box manufacturer to cooperate with the fee.
所有设备及控制装置之供应单价已包含箱体、箱内接触器、各类开关、熔断器、及所有必需之电器元件，汇流排、母线、电线槽、电线、导线管及相类之接驳、连接及分支、并包括供应接地配件及所有必需之配件、配电箱厂家现场服务配合费等。</t>
  </si>
  <si>
    <t xml:space="preserve">5.2.4 </t>
  </si>
  <si>
    <t>The description of the "item" of the set of instruments and control devices, etc. should be referred to together with the detailed design requirements of the manufacturer.
套装器械及控制装置等之“项”说明应与厂方详细设计要求一并参阅。</t>
  </si>
  <si>
    <t xml:space="preserve">5.2.5 </t>
  </si>
  <si>
    <t>If there are limitations on the dimensions of the equipment, these dimensions shall be indicated.
如器械之尺寸有所限制，该等尺寸应予以说明。</t>
  </si>
  <si>
    <t>5.2.6</t>
  </si>
  <si>
    <t>The subheading of the switchboard marking "(new)" shall include all the contents of 5.2.2 and 5.2.3 above.
配电箱标记“(新增)”的子目，应包括上述第5.2.2条及5.2.3条所有内容。</t>
  </si>
  <si>
    <t>5.2.7</t>
  </si>
  <si>
    <t>Distribution box labeled "(original box newly made)" subheading, indicating that the site has the number of distribution box, but compared with the project distribution box system diagram, the original distribution box components and other content changes, need to be removed and need to deepen the design of the project distribution box system diagram after the supply and installation, as well as the need to comply with the original distribution box box Whether to meet the above deepening design specifications after the size requirements; if the original box can not meet the requirements of the project, but also need to consider the original box demolition fee; that is: the removal of the original box and new to do are not a separate item, need to be included in the power distribution box mentioned in Article 5.2.2 and 5.2.3 unit price. Residual value recovery after the removal of the original box in the electrical system chapter of the "residual value recovery" project unified consideration and quotation.
配电箱标记“(原有箱体新做)”的子目，表示现场已有该编号配电箱，但与本工程配电箱系统图比较，原配电箱内元器件等内容变化较大，需要全部拆除并需要按本工程配电箱系统图深化设计后供应及安装，以及还需要符合原有配电箱箱体是否满足上述深化设计后的规格尺寸要求；若原有箱体无法满足本工程要求，还需考虑原有箱体拆除的费；即：原有箱体的拆除及新做均不单独列项，需要包括在配电箱前述第5.2.2条及5.2.3条单价内。原有箱体拆除后的残值回收在本电气系统章节的“残值回收”项目统一考虑并报价。</t>
  </si>
  <si>
    <t>5.2.8</t>
  </si>
  <si>
    <t>Sub-item of distribution box labeled "(renovation)" indicates that there is already a distribution box of this number on site, and there is change/adjustment of components in the original distribution box when comparing with the system plan of distribution box of this project, and the components of the changed/adjusted part need to be supplied and installed after deepening the design in accordance with the system plan of the distribution box of this project, as well as whether the specifications and dimensions of the box of the original distribution box are in line with the original design, and whether the price of the original distribution box is in line with the system plan. Whether the specification size of distribution box box meets the specification size requirements after deepening design; if the specification size of the original distribution box box can not meet the requirements of this project, it is also necessary to consider the cost of box part of the transformation. That is: the cost of change in the distribution box box body is not listed separately, and needs to be included in the unit price of distribution box in the aforementioned Article 5.2.2 and Article 5.2.3. If the original box marked as "(remodeling)" of the distribution box needs to be removed to make a new one, it should be referred to the content of the quotation listed in item 5.2.7.
配电箱标记“(改造)”的子目，表示现场已有该编号配电箱，且与本工程配电箱系统图比较，原配电箱内元器件等部分内容有变化/调整，变化/调整部分的元器件等需按本工程配电箱系统图深化设计后供应及安装，以及需要符合原有配电箱箱体规格尺寸是否满足上述深化设计后的规格尺寸要求；若原配电箱箱体规格尺寸无法满足本工程要求，还需要考虑箱体部分改造所需费用。即：配电箱箱体改在的费用不单独列项，需要包括在配电箱前述第5.2.2条及5.2.3条单价内。若标记为“(改造)”的配电箱的原有箱体需要拆除新做时，应参考第5.2.7项所列内容报价。</t>
  </si>
  <si>
    <t>5.2.9</t>
  </si>
  <si>
    <t>All the contents of the distribution box need to provide a breakdown of the unit price of each distribution box equipment according to the list appendix format.
全部配电箱内容需要按清单附录格式，提供每一台配电箱设备单价的组成明细。</t>
  </si>
  <si>
    <t>5.3 Ventilation, air conditioning and heating system and water supply and drainage system equipment wiring 
通风、空调及采暖系统及给排水系统之设备接线</t>
  </si>
  <si>
    <t>5.3.1</t>
  </si>
  <si>
    <t>The motor inspection and wiring of the equipment shall be measured by "unit", and the unit price shall be regarded as including insulation shaking, recording, grinding rectifier, slip ring and brush, blowing, wrapping insulation tape, wiring, grounding, and no-load test run.
设备之电动机检查接线应以“台”计量，其单价应视作包括摇测绝缘、记录、研磨整流子、滑环及电刷、吹扫、包缠绝缘带、接线、接地、空载试运转。</t>
  </si>
  <si>
    <t>5.3.2</t>
  </si>
  <si>
    <t>Fan coil wiring, variable air volume end device wiring, air-conditioning switch and similar should be measured by unit, the "item" should be regarded as including wiring, wiring, metal hose laying, installation and commissioning.
风机盘管接线、变风量末端装置接线、空调开关及相类者应按台计量，该等“项”应视作包括配线、接线、金属软管敷设、安装固定及调试。</t>
  </si>
  <si>
    <t>5.3.3</t>
  </si>
  <si>
    <t>Level control device should be measured by "set", the unit price should be regarded as including level control device and all accessories of wiring, grounding and commissioning.
液位控制装置应以“套”计量，其单价应视作包括液位控制装置及所有配件之接线、接地及调试。</t>
  </si>
  <si>
    <t>5.3.4</t>
  </si>
  <si>
    <t>The equipment comes with a control cabinet to the end of the equipment between the cable, wire laying and equipment wiring. Specific content includes: installation of control cabinet, trunking, conduit connection, cable and wire laying, wiring at the end of the control cabinet, motor checking and wiring, insulation shaking, recording, grinding rectifiers, slip rings and brushes, blowing, wrapping insulating tapes, wiring, grounding, and no-load test run, and other related work.
设备自带控制柜到末端设备之间的电缆、电线敷设及设备接线。具体内容包括：控制柜的安装、线槽、线管连接、电缆、电线敷设、控制柜端接线、电动机的检查接线、摇测绝缘，记录，研磨整流子，滑环及电刷，吹扫，包缠绝缘带，接线，接地，空载试运转等一切相关工作。</t>
  </si>
  <si>
    <t>5.4 lighting apparatus照明器具</t>
  </si>
  <si>
    <t>5.4.1</t>
  </si>
  <si>
    <t>Unless otherwise specified, light fixtures, switches, push buttons, sockets, safety transformers, bells, fans and the like shall be calculated on a per-piece basis, quoting the relevant design requirements.
除另有说明，灯具、开关、按钮、插座、安全变压器、电铃、风扇及相类者应按件计算并引用有关之设计要求。</t>
  </si>
  <si>
    <t>5.4.2</t>
  </si>
  <si>
    <t>The unit price of the above items shall be deemed to include the relevant conduit boxes, ceiling boxes, box covers, metal hoses, suspension chains, suspension rods, wiring in tubes, wiring, brackets, painting, lampholders, fuses, grounding fittings and the like.
上述“项”的单价应视作包括有关之导线管盒、天花盒、盒盖、金属软管、吊链、吊杆、管内穿线、接线、支架、刷漆、灯座、熔断器、接地配件及相类者。</t>
  </si>
  <si>
    <t>5.4.3</t>
  </si>
  <si>
    <t>The unit price for the supply of luminaires shall be deemed to include the complete set of luminaires and light sources, fittings, ballasts and phases, and the unit price for installation shall include the assembly and installation of the above items.
灯具供应单价应视作包括全套灯具及光源、配件、镇流器及相类者，安装单价包含上述项之组装及安装。</t>
  </si>
  <si>
    <t>5.4.4</t>
  </si>
  <si>
    <t>General insulation measurements of wiring and luminaires and test lighting of luminaires are included in the above "items".
上述“项”中已包括了线路及照明器具的一般绝缘测量和灯具试亮。</t>
  </si>
  <si>
    <t>5.4.5</t>
  </si>
  <si>
    <t>Luminaires shall be measured according to the number of circuits they control, with the wattage and the type and number of circuits of each accessory listed.
照明器具应依其控制之线路数目计量，并列明功率及每件附件之类别与线路数目。</t>
  </si>
  <si>
    <t>5.5 Conduits and fittings 导线管及配件</t>
  </si>
  <si>
    <t>5.5.1</t>
  </si>
  <si>
    <t>Conduit (including flexible and ductile conduit) shall be measured in "meters" together with fittings, stubs and branches, and shall be identified by type and outside diameter.
导线管（包括软性及可延展导线管）应连同配件、短管及分支以“米”计量并列明类别及外径。</t>
  </si>
  <si>
    <t>5.5.2</t>
  </si>
  <si>
    <t>The "item" of conduit shall be deemed to include conduit, sleeves, fittings, splices, clamps, line protection, bracing, painting, marking, and the supply of all conduit junction boxes, junction boxes, fittings, and pulling leads.
导线管之“项”应视作包括导线管、套管、管件、接驳、管卡、管路保护、支架、刷漆、标识及供应所有导线管接线箱、接线盒、配件及拉引线。</t>
  </si>
  <si>
    <t>5.5.3</t>
  </si>
  <si>
    <t>The "item" of conduit shall be deemed to include all materials necessary for proper grounding.
导线管之“项”应视作包括正确接地而需要的一切材料。</t>
  </si>
  <si>
    <t>5.5.4</t>
  </si>
  <si>
    <t>Conduits concealed in concrete or floor screeds, or concealed or embedded in walls, shall be grouped together and listed as [concealed conduit]. Conduit installed on the structural surface of the building shall be listed as [open conduit].
藏于混凝土或地台找平、藏于或陷入于墙身之导线管应组合一起，并列明[暗敷导线管]。装于楼宇结构表面之导线管应列明[明敷导线管]。</t>
  </si>
  <si>
    <t>5.6 Wire ducts, wire reels, wire ladders and accessories 电线槽、线盘、线梯及配件</t>
  </si>
  <si>
    <t>5.6.1</t>
  </si>
  <si>
    <t>Wire troughs, coils and ladders should be measured in "meters" according to the width of the connecting parts, short grooves and branches, and list the categories and sizes. In the case of multi-grid trunking, the number of sub-grids should be listed.
电线槽、线盘及线梯应连同连接件配件、短槽、分支按宽度以“米”计量，并列明类别及尺寸。如是多格线槽应列明分格的数目。</t>
  </si>
  <si>
    <t>5.6.2</t>
  </si>
  <si>
    <t>The description of the "item" in the Contract List shall be deemed to include all required components and labor, including, without prejudice to the General Laws, splices, junction boxes, connectors, elbows, tees, covers and all fittings and connections, hangers, painting, marking, fireproofing, intumescent connectors, wire retaining straps, and sub-brackets; and temporary and permanent pulling leads and grounding fittings.
合同清单内该“项”说明应视作已包括所有所需之组成件及人工，在不损一般法则下包括接驳、接线盒、连接件、弯头、三通、盖板及所有配件及连接、支吊架、刷漆、标识、防火堵塞、膨胀接头、电线固定带及分线架；临时及永久拉引线及接地配件。</t>
  </si>
  <si>
    <t>5.6.3</t>
  </si>
  <si>
    <t>Such "items" shall be deemed to include adapter fittings for connection to conduit.
该等“项”应视作包括与导线管接驳之转接配件。</t>
  </si>
  <si>
    <t>5.6.4</t>
  </si>
  <si>
    <t>The "item" for electrical raceways, coils and ladders shall be deemed to include all materials necessary for proper ground connection.
电线槽、线盘及线梯之“项” 应视作包括正确接地面需要的一切材料。</t>
  </si>
  <si>
    <t>5.6.5</t>
  </si>
  <si>
    <t>The "item" for electrical raceways, coils and ladders shall be deemed to include (filler) fireproofing filler, steel bracing, painting and all ancillary materials.
电线槽、线盘及线梯之“项” 应视作包括（填充）防火填料、型钢支架、刷漆及所有辅料。</t>
  </si>
  <si>
    <t>5.6.6</t>
  </si>
  <si>
    <t>When the original wire channel/bridge is dismantled and re-installed on site, the amount of work that can be salvaged and needs to be re-supplied shall be deepened and filled in by the bidding unit, and the original dismantled equipments/materials shall be utilized, and the mutual utilization among different floors shall be taken into consideration; and the abovementioned residual value recycling of the dismantled wire channel/bridge which cannot be utilized shall be unifiedly considered and quoted in the chapter of "Residual Value Recycling" in the chapter of "Electrical System". The residual value recovery, which cannot be utilized after the removal of the above-mentioned trunking/bridges, will be considered and quoted in the "Residual Value Recovery" section of the electrical system.
现场原有线槽/桥架拆除后重新安装时，可利旧部分及需要重新供应部分的工程量，由投标单位自行深化设计并填报，能利用原拆除设备/材料，考虑不同楼层间的互相利用；上述线槽/桥架拆除后无法利用的残值回收，在本电气系统章节的“残值回收”项目统一考虑并报价。</t>
  </si>
  <si>
    <t>5.7 Busbar/Cabinet &amp; Accessories 汇流排槽/母线槽及配件</t>
  </si>
  <si>
    <t>5.7.1</t>
  </si>
  <si>
    <t>The busway/bus duct shall be measured and listed according to the aforementioned calculation rules, indicating the type, number and power of busbars, and connection method.
汇流排槽/母线槽应根据前述之计算规则进行计量并列明类别、汇流排母线数目与功率及接驳方法。</t>
  </si>
  <si>
    <t>5.7.2</t>
  </si>
  <si>
    <t>The unit price for the supply of such items shall be deemed to include bus ducts/bus ducts.
等“项”之供应单价应视作包括汇流排槽/母线槽。</t>
  </si>
  <si>
    <t>5.7.3</t>
  </si>
  <si>
    <t>The unit price for installation of such items shall be deemed to include joints, connecting fittings, terminal covers, expanders, vibration damping springs, supports, hangers, painting and insulation testing of bus ducts/bus ducts.
该等“项”之安装单价应视作包括汇流排槽/母线槽之接头、连接配件、终端盖、伸缩器、减震弹簧、支、吊架、刷漆及绝缘测试。</t>
  </si>
  <si>
    <t>5.7.4</t>
  </si>
  <si>
    <t>All electrical components of the busbar/bus duct box shall be measured by "set" according to the power and connection method.
汇流排槽/母线槽箱连所有电器元件按功率及接驳方法以“套”计量。</t>
  </si>
  <si>
    <t>5.7.5</t>
  </si>
  <si>
    <t>The "item" of a busbar/busbar box shall be deemed to include all fittings, supports, painting and grounding.
汇流排槽/母线槽箱之“项”应视作包含所有配件、支架、刷漆及接地。</t>
  </si>
  <si>
    <t>5.8 Cables, wires 电缆、电线</t>
  </si>
  <si>
    <t>5.8.1</t>
  </si>
  <si>
    <t>Relevant cables and wires shall be deemed to include supply and distribution lines and the like.
有关电缆、电线应视作包括供应及分配线路及相类者。</t>
  </si>
  <si>
    <t>5.8.2</t>
  </si>
  <si>
    <t>Cables and wires in conduits, trunking, coils or ladders shall be measured in meters by the net length of the conduits, trunking, coils or ladders.
在导线管、电线槽、线盘或线梯内之电缆、电线应以导线管、电线槽、线盘或线梯之净长度以“米”计量。</t>
  </si>
  <si>
    <t>5.8.3</t>
  </si>
  <si>
    <t>Cables and wires shall be measured in "meters" and the type and size shall be listed.
电缆、电线应以“米”计量并列明类别及尺寸。</t>
  </si>
  <si>
    <t>5.8.4</t>
  </si>
  <si>
    <t>The unit price for the supply of cables and wires shall be deemed to include cables and wires.
有关电缆、电线之供应单价应视作包括电缆、电线。</t>
  </si>
  <si>
    <t>5.8.5</t>
  </si>
  <si>
    <r>
      <rPr>
        <sz val="10"/>
        <rFont val="Calibri"/>
        <family val="3"/>
        <charset val="134"/>
        <scheme val="minor"/>
      </rPr>
      <t>The unit price for the installation of cables and wires shall be deemed to include the pulling of cables and wires into existing conduits, numbering, matching, soldering of headers, existing troughs or existing cable and wire troughs together with the opening and placing back of the trough covers, checking of flaps and the like.</t>
    </r>
    <r>
      <rPr>
        <b/>
        <sz val="10"/>
        <rFont val="Calibri"/>
        <family val="3"/>
        <charset val="134"/>
        <scheme val="minor"/>
      </rPr>
      <t xml:space="preserve">
</t>
    </r>
    <r>
      <rPr>
        <sz val="10"/>
        <rFont val="Calibri"/>
        <family val="3"/>
        <charset val="134"/>
        <scheme val="minor"/>
      </rPr>
      <t>有关电缆、电线之安装单价应视作包括拉引电缆、电线进入现有导线管、编号、对号、焊接包头、现有槽管或现有电缆、电线槽连同开启及放回槽盖、检查活门及相类者。</t>
    </r>
  </si>
  <si>
    <t>5.8.6</t>
  </si>
  <si>
    <t>The unit price of installation of cables and wires shall be deemed to include cable, wire connection and joints, intermediate head, terminal head, wire band, terminal gland, clamping, bracket, local protection, grounding, insulation resistance measurement, temporary head and marking.
有关电缆、电线之安装单价应视作包括电缆、电线接驳及接头、中间头、终端头、线带、终端压盖、卡固、支架、局部保护、接地、测绝缘电阻、临时封头及标识等。</t>
  </si>
  <si>
    <t>5.8.7</t>
  </si>
  <si>
    <t>The unit price for the installation of cables and wires shall be deemed to include the supply and/or installation of cable sheathing through walls, floors and ceilings.
有关电缆、电线之安装单价应视作包括供应及/或安装穿过墙身、地台及天花之线套。</t>
  </si>
  <si>
    <t>5.8.8</t>
  </si>
  <si>
    <t>Connections to public mains, repairs to public roads and works which can only be carried out by public authorities or the Regional Government shall be measured by [allowances].
与公共主线之接驳、修好公共道路及只能由公共机构或区域政府进行之作应以[预留款]计量。</t>
  </si>
  <si>
    <t>5.9 Grounding and lightning protection 接地及避雷装置</t>
  </si>
  <si>
    <t>5.9.1</t>
  </si>
  <si>
    <t>Conductive tape for grounding shall be measured in "meters" and shall be listed with type and size.
供接地用之导电带应以“米”计量，并列明类别及尺寸。</t>
  </si>
  <si>
    <t>5.9.2</t>
  </si>
  <si>
    <t>The "item" of wire/cable and conductive tape shall be deemed to include all related work such as fixing, splicing, crossing, bending, cornering, clamping, painting and earth resistance testing.
电线/缆及导电带“项”应视作包括固定、接驳、交叉、弯曲、拐弯、卡子、刷漆及接地电阻测试等一切相关工作。</t>
  </si>
  <si>
    <t>5.9.3</t>
  </si>
  <si>
    <t>Lightning terminal rods, test pliers, earth rods, earth electrodes and phases shall be counted in pieces with proper indication of type and size. The description of "item" shall include excavation and filling, grounding device electrode driven into the soil, and grounding resistance test. The "item" shall be deemed to include the conductor and its connection to the electrode.
避雷终端棒、测试钳、接地棒、接地电极及相类者应按件计算，并适当地列明类别及尺寸。“项”说明应包括挖填土、接地装置电极打入泥土、接地电阻试验。该“项”应视作包括导电体及其与电极之接驳。</t>
  </si>
  <si>
    <t>5.9.4</t>
  </si>
  <si>
    <t>Equipotential connection is calculated according to the part of the place, the "item" shall be regarded as including grounding wire, conduit, all accessories, grounding body, fixed, connected, bending, clamps, painting.
等电位联接按部位以处计算，该等“项”应视作包括接地电线、导线管、所有附件、接地体、固定、接驳、弯曲、卡子、刷漆。</t>
  </si>
  <si>
    <t>5.9.5</t>
  </si>
  <si>
    <t>The grounding resistance test shall be measured at times and shall include all tests and examinations required to meet the design and specifications.
接地电阻试验以次计量，包含为达到设计及规范之要求之一切测试及试验。</t>
  </si>
  <si>
    <t>5.9.6</t>
  </si>
  <si>
    <t>Grounding terminal boxes containing electrical components shall be measured in units, including all accessories, brackets, painting and marking.
接地端子箱含电器元件应以台计量，包含所有附件、支架、刷漆及标识。</t>
  </si>
  <si>
    <t>PER Category</t>
  </si>
  <si>
    <t>Budget Amount (USD)</t>
  </si>
  <si>
    <t>Partitions (Drywall, Glazing etc.)</t>
  </si>
  <si>
    <t>Flooring Works (Fit-Out)</t>
  </si>
  <si>
    <t>Joinery Works</t>
  </si>
  <si>
    <t>Signage / Graphics</t>
  </si>
  <si>
    <t>Carpet</t>
  </si>
  <si>
    <t>Miscellaneous Items Works (Fit-Out Works)</t>
  </si>
  <si>
    <t>Fire Suppression Systems (Fit-Out Works)</t>
  </si>
  <si>
    <t>Building Management Systems</t>
  </si>
  <si>
    <t>Low Side Electrical Works</t>
  </si>
  <si>
    <t>HVAC systems</t>
  </si>
  <si>
    <t>Dry Works &amp; Wall Cladding</t>
  </si>
  <si>
    <t>Ceiling (Fit Out)</t>
  </si>
  <si>
    <t>Blinds</t>
  </si>
  <si>
    <t>Public Health Engineering (PHE) Works</t>
  </si>
  <si>
    <t>Sprinkler Installations (Fit-Out Works)</t>
  </si>
  <si>
    <t>Uninterruptible Power Supply (UPS) Works</t>
  </si>
  <si>
    <t>Light Fixtures</t>
  </si>
  <si>
    <t>Lighting Management System</t>
  </si>
  <si>
    <t>Fire Suppression Systems</t>
  </si>
  <si>
    <t>TOTAL</t>
  </si>
  <si>
    <t>QS Estimate Category</t>
  </si>
  <si>
    <t>Total Amount (USD)</t>
  </si>
  <si>
    <t>TOTAL CLASSIFIED</t>
  </si>
  <si>
    <t>SUMMARY PAGE</t>
  </si>
  <si>
    <t>Vendor-A</t>
  </si>
  <si>
    <t>Vendor-B</t>
  </si>
  <si>
    <t>Vendor-C</t>
  </si>
  <si>
    <t>Vendor-D</t>
  </si>
  <si>
    <t>Vendor-E</t>
  </si>
  <si>
    <t>No.</t>
  </si>
  <si>
    <t>DESCRIPTION</t>
  </si>
  <si>
    <t>GC Total
(USD)</t>
  </si>
  <si>
    <t>Preliminaries (inclusive of M&amp;E Works)</t>
  </si>
  <si>
    <t>A</t>
  </si>
  <si>
    <t>Fit out works 装饰工程</t>
  </si>
  <si>
    <t>B</t>
  </si>
  <si>
    <t>Demolition Works 拆除工程</t>
  </si>
  <si>
    <t>C</t>
  </si>
  <si>
    <t>Partition Works 隔墙工程</t>
  </si>
  <si>
    <t>D</t>
  </si>
  <si>
    <t>Wall finish 墙面饰面</t>
  </si>
  <si>
    <t>E</t>
  </si>
  <si>
    <t>Ceiling Works 天花工程</t>
  </si>
  <si>
    <t>G</t>
  </si>
  <si>
    <t>Flooring Works (Fit-Out) 地面工程</t>
  </si>
  <si>
    <t>H</t>
  </si>
  <si>
    <t>Carpet 地毯工程</t>
  </si>
  <si>
    <t>I</t>
  </si>
  <si>
    <t>Door Works 门工程</t>
  </si>
  <si>
    <t>J</t>
  </si>
  <si>
    <t>Carpentry Works 木器工程</t>
  </si>
  <si>
    <t>K</t>
  </si>
  <si>
    <t>Internal Staircase 内部楼梯</t>
  </si>
  <si>
    <t>L</t>
  </si>
  <si>
    <t>Atrium works 中庭工程</t>
  </si>
  <si>
    <t>M</t>
  </si>
  <si>
    <t>Signage / Graphics 标识及图形</t>
  </si>
  <si>
    <t>N</t>
  </si>
  <si>
    <t>Blinds 窗帘</t>
  </si>
  <si>
    <t>O</t>
  </si>
  <si>
    <t>Miscellaneous Items Works 其他杂项</t>
  </si>
  <si>
    <t>MEP works 机电工程</t>
  </si>
  <si>
    <t>P</t>
  </si>
  <si>
    <t>Building Management Systems (BMS)</t>
  </si>
  <si>
    <t>Q</t>
  </si>
  <si>
    <t>Low Side Electrical Works 低压电气</t>
  </si>
  <si>
    <t>R</t>
  </si>
  <si>
    <t>S</t>
  </si>
  <si>
    <t>Light Fixtures 灯具</t>
  </si>
  <si>
    <t>T</t>
  </si>
  <si>
    <t>Lighting Management System 灯控系统</t>
  </si>
  <si>
    <t>U</t>
  </si>
  <si>
    <t>Air-conditioning Works 空调工程</t>
  </si>
  <si>
    <t>V</t>
  </si>
  <si>
    <t>W</t>
  </si>
  <si>
    <t>X</t>
  </si>
  <si>
    <t>Fire Suppression Systems 消防系统</t>
  </si>
  <si>
    <t>Y</t>
  </si>
  <si>
    <t>Plumbing &amp; Drainage works 给排水系统</t>
  </si>
  <si>
    <t>Total</t>
  </si>
  <si>
    <t>Vendor WBS Description</t>
  </si>
  <si>
    <t>PER-Budget / QS Estimate Category</t>
  </si>
  <si>
    <t>QS Category</t>
  </si>
  <si>
    <t>Historical Unit Rate (USD/Sqm)</t>
  </si>
  <si>
    <t>Weighted Average Unit Rate</t>
  </si>
  <si>
    <t xml:space="preserve">Bill of Quantity for Build General Contractor Works </t>
  </si>
  <si>
    <r>
      <rPr>
        <b/>
        <u/>
        <sz val="9"/>
        <color rgb="FFFF0000"/>
        <rFont val="Arial"/>
        <family val="2"/>
      </rPr>
      <t xml:space="preserve">DO NOT </t>
    </r>
    <r>
      <rPr>
        <b/>
        <u/>
        <sz val="9"/>
        <rFont val="Arial"/>
        <family val="2"/>
      </rPr>
      <t xml:space="preserve">change the form of this Schdule of Rates, any changes or ideas please use </t>
    </r>
    <r>
      <rPr>
        <b/>
        <u/>
        <sz val="9"/>
        <color rgb="FFFF0000"/>
        <rFont val="Arial"/>
        <family val="2"/>
      </rPr>
      <t>"Please specify"</t>
    </r>
    <r>
      <rPr>
        <b/>
        <u/>
        <sz val="9"/>
        <rFont val="Arial"/>
        <family val="2"/>
      </rPr>
      <t xml:space="preserve"> rows
</t>
    </r>
    <r>
      <rPr>
        <b/>
        <u/>
        <sz val="9"/>
        <color rgb="FFFF0000"/>
        <rFont val="Arial"/>
        <family val="2"/>
      </rPr>
      <t>不要</t>
    </r>
    <r>
      <rPr>
        <b/>
        <u/>
        <sz val="9"/>
        <rFont val="Arial"/>
        <family val="2"/>
      </rPr>
      <t>自行更改或修改表格格式，任何改动需使用</t>
    </r>
    <r>
      <rPr>
        <b/>
        <u/>
        <sz val="9"/>
        <color rgb="FFFF0000"/>
        <rFont val="Arial"/>
        <family val="2"/>
      </rPr>
      <t>”请列明“</t>
    </r>
    <r>
      <rPr>
        <b/>
        <u/>
        <sz val="9"/>
        <rFont val="Arial"/>
        <family val="2"/>
      </rPr>
      <t>行</t>
    </r>
  </si>
  <si>
    <t>No.
序号</t>
  </si>
  <si>
    <t>DESCRIPTION OF WORKS
描述</t>
  </si>
  <si>
    <t>Material Code
材料编号</t>
  </si>
  <si>
    <t>Spec.Brand
品牌型号</t>
  </si>
  <si>
    <t>Refer. Quantity/参考数量</t>
  </si>
  <si>
    <t>Tender Quantity/ 投标数量</t>
  </si>
  <si>
    <t>Unit
单位</t>
  </si>
  <si>
    <t>Unit Rate(¥) 单价</t>
  </si>
  <si>
    <t>Total(RMB)/ 合计</t>
  </si>
  <si>
    <t>Remarks
备注</t>
  </si>
  <si>
    <t>Phase 1 短翼</t>
  </si>
  <si>
    <t>Phase 2 长翼</t>
  </si>
  <si>
    <t>Labor</t>
  </si>
  <si>
    <t>Material</t>
  </si>
  <si>
    <t>-1F</t>
  </si>
  <si>
    <t>1F</t>
  </si>
  <si>
    <t>2F</t>
  </si>
  <si>
    <t>3F</t>
  </si>
  <si>
    <t>4F</t>
  </si>
  <si>
    <t>5F</t>
  </si>
  <si>
    <t>Roof</t>
  </si>
  <si>
    <t>人工</t>
  </si>
  <si>
    <t>材料</t>
  </si>
  <si>
    <t>小计</t>
  </si>
  <si>
    <t>Electrical Works 强电工程</t>
  </si>
  <si>
    <t>提供安装配电箱 RAPRBH4</t>
  </si>
  <si>
    <t>set</t>
  </si>
  <si>
    <t>配电箱改造 1AP2-1</t>
  </si>
  <si>
    <t>配电箱改造 2ATit1</t>
  </si>
  <si>
    <t>配电箱改造 UPS31-1</t>
  </si>
  <si>
    <t>配电箱改造 UPS51-1</t>
  </si>
  <si>
    <t>模块式风冷热泵隔离开关箱</t>
  </si>
  <si>
    <t>WDZB-YJY-4x120+1x95</t>
  </si>
  <si>
    <t>m</t>
  </si>
  <si>
    <t>WDZB-YJY-3x70</t>
  </si>
  <si>
    <t>WDZB-YJY-3x16+1x16</t>
  </si>
  <si>
    <t>WDZB-YJY-3x10+1x10</t>
  </si>
  <si>
    <t>WDZB-YJY-3x6+1x6</t>
  </si>
  <si>
    <t>提供及安装ISP1装饰吊灯</t>
  </si>
  <si>
    <t>set</t>
    <phoneticPr fontId="10" type="noConversion"/>
  </si>
  <si>
    <t>提供及安装USB插座</t>
  </si>
  <si>
    <t>提供及安装设备出线点位</t>
  </si>
  <si>
    <t>提供及安装风机盘管线控管道</t>
  </si>
  <si>
    <t>提供及安装卷闸门电源</t>
  </si>
  <si>
    <t>提供及安装天花强电桥架200*100</t>
  </si>
  <si>
    <t>提供及安装地面强电桥架300*100</t>
  </si>
  <si>
    <t>安装双鉴占用传感器管道</t>
  </si>
  <si>
    <t>安装室外照度传感器管道</t>
  </si>
  <si>
    <t>安装室内照度传感器管道</t>
  </si>
  <si>
    <t>安装厂景控制面板管道</t>
  </si>
  <si>
    <t>提供及安装BMS管道</t>
  </si>
  <si>
    <t>提供及安装地面电子 风口电源</t>
  </si>
  <si>
    <t>提供及安装电子风口控制线管道</t>
  </si>
  <si>
    <t>提供及安装天花弱电桥架200*100</t>
  </si>
  <si>
    <t>提供及安装地面弱电桥架400*50</t>
  </si>
  <si>
    <t>Supply and install intelligent lighting system
提供及安装智能照明系统</t>
  </si>
  <si>
    <t>IP通讯网关模块</t>
  </si>
  <si>
    <t>nos</t>
  </si>
  <si>
    <t>系统电源模块</t>
  </si>
  <si>
    <t>线路/支线耦合器</t>
  </si>
  <si>
    <t>DALI调光控制模块</t>
  </si>
  <si>
    <t>8路开关控制模块</t>
  </si>
  <si>
    <t>360º占空&amp;日光感应器</t>
  </si>
  <si>
    <t>智能控制面板</t>
  </si>
  <si>
    <t>BMS接口模块</t>
  </si>
  <si>
    <t>交换机</t>
  </si>
  <si>
    <t>照明系统中控软件</t>
  </si>
  <si>
    <t>中控电脑</t>
  </si>
  <si>
    <t>灯控系统系统通讯线</t>
  </si>
  <si>
    <t>系统编程调试测试（含中控编辑、界面制作、测试）</t>
  </si>
  <si>
    <t>item</t>
    <phoneticPr fontId="4" type="noConversion"/>
  </si>
  <si>
    <t>电缆井及油管井开挖及复位</t>
  </si>
  <si>
    <t>原有柴发油管拆除</t>
  </si>
  <si>
    <t>Sub-total</t>
    <phoneticPr fontId="4" type="noConversion"/>
  </si>
  <si>
    <r>
      <t xml:space="preserve">Air-conditioning Works </t>
    </r>
    <r>
      <rPr>
        <b/>
        <u/>
        <sz val="9"/>
        <rFont val="宋体"/>
        <family val="3"/>
        <charset val="134"/>
      </rPr>
      <t>空调工程（续）</t>
    </r>
  </si>
  <si>
    <t>移位安装FTU风口，含故障排查及全面清洁</t>
  </si>
  <si>
    <t>FTU地板送风空调系统调试
-所有末端FTU分区及编号的设定
-指导安装末端FTU、FCP控制箱寄系统数据线连接工作</t>
  </si>
  <si>
    <t>供应及安装静压箱1100*400*250（H）</t>
  </si>
  <si>
    <t>供应及安装静压箱1100X1100X600（H）</t>
  </si>
  <si>
    <t>供应及安装静压箱300*250*250（H）</t>
  </si>
  <si>
    <t>供应及安装静压箱600*250*250（H）</t>
  </si>
  <si>
    <t>供应及安装隔音毡</t>
  </si>
  <si>
    <t>㎡</t>
  </si>
  <si>
    <t>供应及安装AH单层格栅风口1250*（150-300）</t>
  </si>
  <si>
    <t>显隆</t>
  </si>
  <si>
    <t>供应及安装AH单层格栅风口2000*200</t>
  </si>
  <si>
    <t>供应及安装AH单层格栅风口600*150</t>
  </si>
  <si>
    <t>供应及安装AH单层格栅风口800*（150-300）</t>
  </si>
  <si>
    <t>供应及安装AH单层格栅风口1600*200</t>
  </si>
  <si>
    <t>供应及安装AH单层格栅风口1000*200</t>
  </si>
  <si>
    <t>供应及安装地面条形风口250mm宽</t>
  </si>
  <si>
    <t>供应及安装天花条形风口150mm宽</t>
  </si>
  <si>
    <t>供应及安装天花条形风口300mm宽</t>
  </si>
  <si>
    <t>供应及安装防火阀FDS 1000*300</t>
  </si>
  <si>
    <t>供应及安装防火阀FDS 500*300</t>
  </si>
  <si>
    <t>供应及安装多叶调节风阀 200*200</t>
  </si>
  <si>
    <t>供应及安装多叶调节风阀 300*200</t>
  </si>
  <si>
    <t>供应及安装防火阀FD 1250*300</t>
  </si>
  <si>
    <t>供应及安装防火阀FD 800*300</t>
  </si>
  <si>
    <t>供应及安装TX消声器200*100</t>
  </si>
  <si>
    <t>华东正大</t>
  </si>
  <si>
    <t>供应及安装TX消声器200*200</t>
  </si>
  <si>
    <t>供应及安装TX消声器250*250</t>
  </si>
  <si>
    <t>供应及安装TX消声器300*100</t>
  </si>
  <si>
    <t>供应及安装TX消声器300*200</t>
  </si>
  <si>
    <t>供应及安装TX消声器400*100</t>
  </si>
  <si>
    <t>供应及安装消声器1500*1250*550（H）</t>
  </si>
  <si>
    <t>供应及安装消声器1500*625*550（H）</t>
  </si>
  <si>
    <t>移位消声器1500*1250*550（H）</t>
  </si>
  <si>
    <t>移位消声器1500*625*550（H）</t>
  </si>
  <si>
    <t>供应及安装L型消声连通管1250*200</t>
  </si>
  <si>
    <t>供应及安装L型消声连通管1000*200</t>
  </si>
  <si>
    <t>供应及安装L型消声连通管1250*300</t>
  </si>
  <si>
    <t>供应及安装L型消声连通管1600*200</t>
  </si>
  <si>
    <t>供应及安装L型消声连通管800*150</t>
  </si>
  <si>
    <t>供应及安装L型消声连通管800*200</t>
  </si>
  <si>
    <t>供应及安装Z型消声连通管1250*150</t>
  </si>
  <si>
    <t>供应及安装Z型消声连通管1250*200</t>
  </si>
  <si>
    <t>供应及安装Z型消声连通管1250*300</t>
  </si>
  <si>
    <t>供应及安装Z型消声连通管600*150</t>
  </si>
  <si>
    <t>供应及安装Z型消声连通管800*150</t>
  </si>
  <si>
    <t>供应及安装Z型消声连通管800*300</t>
  </si>
  <si>
    <t>供应及安装Z型消声连通管1600*200</t>
  </si>
  <si>
    <t>供应及安装消音风管</t>
  </si>
  <si>
    <t>m2</t>
  </si>
  <si>
    <t>Air Conditioning Water System
空调水系统</t>
  </si>
  <si>
    <t>供应及安装Y型过滤器DN80</t>
  </si>
  <si>
    <t>kitz</t>
  </si>
  <si>
    <t>供应及安装Y型过滤器DN100</t>
  </si>
  <si>
    <t>供应及安装Y型过滤器DN125</t>
  </si>
  <si>
    <t>供应及安装Y型过滤器DN150</t>
  </si>
  <si>
    <t>供应及安装Y型过滤器DN200</t>
  </si>
  <si>
    <t>供应及安装Y型过滤器DN250</t>
  </si>
  <si>
    <t>安装电动调节阀（DN80-150）</t>
  </si>
  <si>
    <t>安装电动调节阀DN（200-350）</t>
  </si>
  <si>
    <t>安装电动双位蝶阀（DN125-200）</t>
  </si>
  <si>
    <t>供应及安装蝶阀DN100</t>
  </si>
  <si>
    <t>供应及安装蝶阀DN125</t>
  </si>
  <si>
    <t>供应及安装蝶阀DN150</t>
  </si>
  <si>
    <t>供应及安装蝶阀DN250</t>
  </si>
  <si>
    <t>供应及安装截止阀DN50</t>
  </si>
  <si>
    <t>供应及安装止回阀DN100</t>
  </si>
  <si>
    <t>供应及安装止回阀DN125</t>
  </si>
  <si>
    <t>供应及安装止回阀DN150</t>
  </si>
  <si>
    <t>供应及安装止回阀DN200</t>
  </si>
  <si>
    <t>供应及安装流量开关</t>
  </si>
  <si>
    <t>江森</t>
  </si>
  <si>
    <t>供应及安装温度计</t>
  </si>
  <si>
    <t>上海自动化仪表三厂</t>
  </si>
  <si>
    <t>供应及安装橡胶软接头DN100</t>
  </si>
  <si>
    <t>江苏晨泰</t>
  </si>
  <si>
    <t>供应及安装压力表</t>
  </si>
  <si>
    <t>安装甲供远程压力传感器</t>
  </si>
  <si>
    <t>供应及安装自动排气阀DN25</t>
  </si>
  <si>
    <t>埃美柯</t>
  </si>
  <si>
    <t>供应及安装卧式方体自动排气阀DN25</t>
  </si>
  <si>
    <t>供应及安装冷凝水管道含保温UPVC-DN20</t>
  </si>
  <si>
    <t>中财/赢胜</t>
  </si>
  <si>
    <t>供应及安装冷凝水管道含保温UPVC-DN32</t>
  </si>
  <si>
    <t>供应及安装冷凝水管道含保温UPVC-DN40</t>
  </si>
  <si>
    <t>供应及安装冷凝水管道含保温UPVC-DN50</t>
  </si>
  <si>
    <t>供应及安装冷凝水管道含保温UPVC-DN80</t>
  </si>
  <si>
    <t>设备吊装费</t>
  </si>
  <si>
    <t>sum</t>
  </si>
  <si>
    <t>原有锅炉设备及管道拆除</t>
  </si>
  <si>
    <t>屋面管道铝皮包裹</t>
  </si>
  <si>
    <t>管道冲洗及镀膜</t>
  </si>
  <si>
    <t>提供安装排风机控制箱</t>
  </si>
  <si>
    <t>提供安装水泵控制箱</t>
  </si>
  <si>
    <r>
      <t xml:space="preserve">Fire System </t>
    </r>
    <r>
      <rPr>
        <b/>
        <u/>
        <sz val="9"/>
        <rFont val="宋体"/>
        <family val="3"/>
        <charset val="134"/>
      </rPr>
      <t>消防工程（续）</t>
    </r>
  </si>
  <si>
    <t>物联网/风压前段传感器/无线风压变送器</t>
  </si>
  <si>
    <t>set</t>
    <phoneticPr fontId="4" type="noConversion"/>
  </si>
  <si>
    <t>物联网/物联中控/用户信息传输装置</t>
  </si>
  <si>
    <t>物联网/物联中控/风信息传输装置</t>
  </si>
  <si>
    <t>物联网/物联中控/智慧消防云平台软件装置</t>
  </si>
  <si>
    <t>物联网/物联中控/电气火灾检测预留接口</t>
  </si>
  <si>
    <t>物联网/物联中控/消防电源检测预留接口</t>
  </si>
  <si>
    <t>物联网/物联中控/防火门监测预留接口</t>
  </si>
  <si>
    <t>物联网/物联中控/应急疏散照明监测预留接口</t>
  </si>
  <si>
    <t>不锈钢波纹管DN100</t>
  </si>
  <si>
    <t>不锈钢波纹管DN65</t>
  </si>
  <si>
    <t>喷淋管道末端冲洗阀DN65</t>
  </si>
  <si>
    <t>湿式报警阀组DN150</t>
  </si>
  <si>
    <t>自动排气阀DN20</t>
  </si>
  <si>
    <t>Smoke extraction system
排烟系统</t>
  </si>
  <si>
    <t>防火阀2m处防火包裹</t>
  </si>
  <si>
    <t>Supply and install air outlets in accordance with the drawings and technical specifications, including all accessories.
按图纸及技术规范要求，供应并安装风口，包含一切配件</t>
  </si>
  <si>
    <t>Single deflection grille 单层百叶风口</t>
  </si>
  <si>
    <t>2000*250</t>
  </si>
  <si>
    <t>2500*500</t>
  </si>
  <si>
    <t>3500*300</t>
  </si>
  <si>
    <t>GP800*(1000+250)</t>
  </si>
  <si>
    <t>According to the requirements of the drawings and technical specifications, supply and install valve components, including valves, electric actuators (if any), short pipe connections, connecting fittings, installation accessories, and all related work.
按图纸及技术规范要求，供应并安装阀部件，包括阀门、电动执行机构（如有）、短管连接、连接管件、安装附件等一切相关工作。</t>
  </si>
  <si>
    <t>280℃ Smoke Fire Damper with Signal Feedback
280℃排烟防火阀（带信号反馈）FDSH</t>
  </si>
  <si>
    <t>1600*250</t>
  </si>
  <si>
    <t>800*300</t>
  </si>
  <si>
    <t>Electric Smoke Exhaust Valve BEC 电动排烟阀BEC</t>
  </si>
  <si>
    <t>1600*300</t>
  </si>
  <si>
    <t>抗震支架</t>
  </si>
  <si>
    <t>提供安装排烟风机控制箱</t>
  </si>
  <si>
    <t>TOTAL BEFORE VAT</t>
    <phoneticPr fontId="0" type="noConversion"/>
  </si>
  <si>
    <t>Name of Tenderer:____HYE________________________________</t>
  </si>
  <si>
    <t>Ventilation System
通风系统</t>
  </si>
  <si>
    <t>FCP控制箱(安装于机房)
3块Flexface电子板
3组出回风感应器</t>
  </si>
  <si>
    <t>FCP控制箱(安装于机房)
2块Flexface电子板
2组出回风感应器
1个 Flexmatic Touch Controller w/ BMS</t>
  </si>
  <si>
    <t>Diesel generator muffler for noise reduction-柴油发电机吸降噪百叶</t>
    <phoneticPr fontId="4" type="noConversion"/>
  </si>
  <si>
    <t>Provide and install diesel generator mufflers for noise reduction
提供及安装柴油发电机吸降噪百叶</t>
    <phoneticPr fontId="4" type="noConversion"/>
  </si>
  <si>
    <t>sm</t>
  </si>
  <si>
    <t>System partition sealing strip系统隔断收口条</t>
  </si>
  <si>
    <t>Supply and install painted metal trim for system partitions
提供及安装系统隔断烤漆金属收口条</t>
  </si>
  <si>
    <t>B1</t>
  </si>
  <si>
    <t>Supply and install painted metal trim for fire-rated system partitions
提供及安装防火系统隔断烤漆金属收口条</t>
  </si>
  <si>
    <t xml:space="preserve">B2 </t>
  </si>
  <si>
    <t>Supply and install painted metal trim for system glass doors
提供及安装系统玻璃门烤漆金属收口条</t>
  </si>
  <si>
    <t>D1a</t>
  </si>
  <si>
    <t xml:space="preserve"> D1b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</si>
</sst>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804]#,##0.00;[Red][$¥-804]\-#,##0.00"/>
    <numFmt numFmtId="166" formatCode="_([$$-409]* #,##0.00_);_([$$-409]* \(#,##0.00\);_([$$-409]* &quot;-&quot;??_);_(@_)"/>
    <numFmt numFmtId="167" formatCode="_ [$€-2]* #,##0.00_ ;_ [$€-2]* \-#,##0.00_ ;_ [$€-2]* &quot;-&quot;??_ "/>
    <numFmt numFmtId="168" formatCode="_-[$$-409]* #,##0.00_ ;_-[$$-409]* \-#,##0.00\ ;_-[$$-409]* &quot;-&quot;??_ ;_-@_ "/>
    <numFmt numFmtId="169" formatCode="0.00_ ;[Red]\-0.00\ "/>
    <numFmt numFmtId="170" formatCode="0.00_);[Red]\(0.00\)"/>
    <numFmt numFmtId="171" formatCode="[$-409]#,##0.00"/>
    <numFmt numFmtId="172" formatCode="[$$-409]#,##0.00"/>
  </numFmts>
  <fonts count="53">
    <font>
      <sz val="9"/>
      <color theme="1"/>
      <name val="Calibri"/>
      <charset val="134"/>
      <scheme val="minor"/>
    </font>
    <font>
      <sz val="11"/>
      <color theme="1"/>
      <name val="Calibri"/>
      <family val="2"/>
      <scheme val="minor"/>
    </font>
    <font>
      <sz val="9"/>
      <name val="Arial"/>
      <family val="2"/>
    </font>
    <font>
      <b/>
      <sz val="9"/>
      <name val="Arial"/>
      <family val="2"/>
    </font>
    <font>
      <b/>
      <u/>
      <sz val="9"/>
      <name val="Arial"/>
      <family val="2"/>
    </font>
    <font>
      <sz val="9"/>
      <color theme="1"/>
      <name val="Arial"/>
      <family val="2"/>
    </font>
    <font>
      <b/>
      <u/>
      <sz val="9"/>
      <color theme="1"/>
      <name val="Arial"/>
      <family val="2"/>
    </font>
    <font>
      <b/>
      <sz val="9"/>
      <color theme="1"/>
      <name val="Arial"/>
      <family val="2"/>
    </font>
    <font>
      <b/>
      <u/>
      <sz val="9"/>
      <color rgb="FFFF0000"/>
      <name val="Arial"/>
      <family val="2"/>
    </font>
    <font>
      <sz val="12"/>
      <name val="Arial"/>
      <family val="2"/>
    </font>
    <font>
      <b/>
      <sz val="10"/>
      <name val="Arial"/>
      <family val="2"/>
    </font>
    <font>
      <sz val="10"/>
      <name val="Arial"/>
      <family val="2"/>
    </font>
    <font>
      <sz val="11"/>
      <name val="Arial"/>
      <family val="2"/>
    </font>
    <font>
      <b/>
      <u/>
      <sz val="12"/>
      <name val="Arial"/>
      <family val="2"/>
    </font>
    <font>
      <b/>
      <u/>
      <sz val="10"/>
      <name val="Arial"/>
      <family val="2"/>
    </font>
    <font>
      <b/>
      <sz val="12"/>
      <name val="Arial"/>
      <family val="2"/>
    </font>
    <font>
      <sz val="10"/>
      <name val="Calibri"/>
      <family val="3"/>
      <charset val="134"/>
      <scheme val="minor"/>
    </font>
    <font>
      <b/>
      <sz val="10"/>
      <name val="Calibri"/>
      <family val="3"/>
      <charset val="134"/>
      <scheme val="minor"/>
    </font>
    <font>
      <b/>
      <u/>
      <sz val="10"/>
      <name val="Calibri"/>
      <family val="3"/>
      <charset val="134"/>
      <scheme val="minor"/>
    </font>
    <font>
      <u/>
      <sz val="10"/>
      <name val="Calibri"/>
      <family val="3"/>
      <charset val="134"/>
      <scheme val="minor"/>
    </font>
    <font>
      <b/>
      <sz val="12"/>
      <name val="Calibri"/>
      <family val="3"/>
      <charset val="134"/>
      <scheme val="minor"/>
    </font>
    <font>
      <b/>
      <sz val="10"/>
      <color theme="1"/>
      <name val="Calibri"/>
      <family val="3"/>
      <charset val="134"/>
      <scheme val="minor"/>
    </font>
    <font>
      <sz val="10"/>
      <color rgb="FFFF0000"/>
      <name val="Calibri"/>
      <family val="3"/>
      <charset val="134"/>
      <scheme val="minor"/>
    </font>
    <font>
      <b/>
      <u/>
      <sz val="12"/>
      <name val="Calibri"/>
      <family val="3"/>
      <charset val="134"/>
      <scheme val="minor"/>
    </font>
    <font>
      <sz val="11"/>
      <color theme="1"/>
      <name val="Calibri"/>
      <family val="3"/>
      <charset val="134"/>
      <scheme val="minor"/>
    </font>
    <font>
      <sz val="12"/>
      <name val="Calibri"/>
      <family val="3"/>
      <charset val="134"/>
      <scheme val="minor"/>
    </font>
    <font>
      <sz val="12"/>
      <name val="宋体"/>
      <family val="3"/>
      <charset val="134"/>
    </font>
    <font>
      <sz val="9"/>
      <color theme="1"/>
      <name val="Verdana"/>
      <family val="2"/>
    </font>
    <font>
      <sz val="11"/>
      <color indexed="8"/>
      <name val="宋体"/>
      <family val="3"/>
      <charset val="134"/>
    </font>
    <font>
      <sz val="12"/>
      <color theme="1"/>
      <name val="DengXian"/>
      <family val="1"/>
    </font>
    <font>
      <sz val="10"/>
      <name val="Arial"/>
      <family val="2"/>
    </font>
    <font>
      <sz val="9"/>
      <color theme="1"/>
      <name val="Calibri"/>
      <family val="3"/>
      <charset val="134"/>
      <scheme val="minor"/>
    </font>
    <font>
      <sz val="9"/>
      <name val="Calibri"/>
      <family val="3"/>
      <charset val="134"/>
      <scheme val="minor"/>
    </font>
    <font>
      <u/>
      <sz val="9"/>
      <name val="Arial"/>
      <family val="2"/>
    </font>
    <font>
      <sz val="9"/>
      <color theme="1"/>
      <name val="Calibri"/>
      <family val="2"/>
      <scheme val="minor"/>
    </font>
    <font>
      <b/>
      <u/>
      <sz val="9"/>
      <name val="宋体"/>
      <family val="3"/>
      <charset val="134"/>
    </font>
    <font>
      <b/>
      <sz val="14"/>
      <name val="Arial"/>
      <family val="2"/>
    </font>
    <font>
      <b/>
      <sz val="11"/>
      <color theme="1"/>
      <name val="Calibri"/>
      <family val="2"/>
      <scheme val="minor"/>
    </font>
    <font>
      <b/>
      <sz val="10"/>
      <color rgb="FFFFFFFF"/>
      <name val="Arial"/>
      <family val="2"/>
    </font>
    <font>
      <sz val="10"/>
      <color theme="1"/>
      <name val="Arial"/>
      <family val="2"/>
    </font>
    <font>
      <b/>
      <sz val="14"/>
      <color rgb="FF000000"/>
      <name val="Arial"/>
      <family val="2"/>
    </font>
    <font>
      <sz val="10"/>
      <color rgb="FF000000"/>
      <name val="Arial"/>
      <family val="2"/>
    </font>
    <font>
      <sz val="10"/>
      <color theme="1"/>
      <name val="Calibri"/>
      <family val="2"/>
      <scheme val="minor"/>
    </font>
    <font>
      <b/>
      <sz val="9"/>
      <color rgb="FFFFFFFF"/>
      <name val="Calibri"/>
      <family val="2"/>
      <scheme val="minor"/>
    </font>
    <font>
      <b/>
      <sz val="12"/>
      <color theme="1"/>
      <name val="Calibri"/>
      <family val="2"/>
      <scheme val="minor"/>
    </font>
    <font>
      <b/>
      <sz val="10"/>
      <color theme="1"/>
      <name val="Arial"/>
      <family val="2"/>
    </font>
    <font>
      <b/>
      <sz val="12"/>
      <color theme="1"/>
      <name val="Arial"/>
      <family val="2"/>
    </font>
    <font>
      <b/>
      <sz val="16"/>
      <color theme="1"/>
      <name val="Calibri"/>
      <family val="2"/>
      <scheme val="minor"/>
    </font>
    <font>
      <b/>
      <sz val="9"/>
      <color theme="1"/>
      <name val="Calibri"/>
      <family val="2"/>
      <scheme val="minor"/>
    </font>
    <font>
      <b/>
      <sz val="9"/>
      <color theme="1"/>
      <name val="Calibri"/>
      <family val="2"/>
      <charset val="134"/>
      <scheme val="minor"/>
    </font>
    <font>
      <sz val="7"/>
      <color theme="1"/>
      <name val="Segoe UI"/>
      <family val="2"/>
    </font>
    <font>
      <b/>
      <sz val="7"/>
      <color theme="1"/>
      <name val="Segoe UI"/>
      <family val="2"/>
    </font>
    <font>
      <b/>
      <sz val="10"/>
      <color theme="1"/>
      <name val="Calibri"/>
      <family val="2"/>
      <scheme val="minor"/>
    </font>
  </fonts>
  <fills count="29">
    <fill>
      <patternFill patternType="none"/>
    </fill>
    <fill>
      <patternFill patternType="gray125"/>
    </fill>
    <fill>
      <patternFill patternType="solid">
        <fgColor theme="0"/>
        <bgColor theme="0"/>
      </patternFill>
    </fill>
    <fill>
      <patternFill patternType="solid">
        <fgColor theme="0" tint="-0.34998626667073579"/>
        <bgColor theme="0"/>
      </patternFill>
    </fill>
    <fill>
      <patternFill patternType="solid">
        <fgColor theme="0"/>
        <bgColor indexed="64"/>
      </patternFill>
    </fill>
    <fill>
      <patternFill patternType="solid">
        <fgColor rgb="FFFFFF00"/>
        <bgColor indexed="64"/>
      </patternFill>
    </fill>
    <fill>
      <patternFill patternType="solid">
        <fgColor rgb="FFFFE1FF"/>
        <bgColor theme="0"/>
      </patternFill>
    </fill>
    <fill>
      <patternFill patternType="solid">
        <fgColor theme="6" tint="0.79998168889431442"/>
        <bgColor theme="0"/>
      </patternFill>
    </fill>
    <fill>
      <patternFill patternType="solid">
        <fgColor rgb="FFFFE1FF"/>
        <bgColor indexed="64"/>
      </patternFill>
    </fill>
    <fill>
      <patternFill patternType="solid">
        <fgColor theme="6" tint="0.79998168889431442"/>
        <bgColor indexed="64"/>
      </patternFill>
    </fill>
    <fill>
      <patternFill patternType="solid">
        <fgColor indexed="9"/>
        <bgColor indexed="1"/>
      </patternFill>
    </fill>
    <fill>
      <patternFill patternType="solid">
        <fgColor indexed="65"/>
        <bgColor theme="0"/>
      </patternFill>
    </fill>
    <fill>
      <patternFill patternType="solid">
        <fgColor theme="0" tint="-0.34998626667073579"/>
        <bgColor indexed="64"/>
      </patternFill>
    </fill>
    <fill>
      <patternFill patternType="solid">
        <fgColor theme="9" tint="0.79998168889431442"/>
        <bgColor indexed="1"/>
      </patternFill>
    </fill>
    <fill>
      <patternFill patternType="solid">
        <fgColor theme="9" tint="0.79998168889431442"/>
        <bgColor theme="0"/>
      </patternFill>
    </fill>
    <fill>
      <patternFill patternType="solid">
        <fgColor theme="6" tint="0.79998168889431442"/>
        <bgColor indexed="1"/>
      </patternFill>
    </fill>
    <fill>
      <patternFill patternType="solid">
        <fgColor theme="4" tint="0.79998168889431442"/>
        <bgColor indexed="1"/>
      </patternFill>
    </fill>
    <fill>
      <patternFill patternType="solid">
        <fgColor theme="4" tint="0.79998168889431442"/>
        <bgColor theme="0"/>
      </patternFill>
    </fill>
    <fill>
      <patternFill patternType="solid">
        <fgColor rgb="FFFFE1FF"/>
        <bgColor indexed="1"/>
      </patternFill>
    </fill>
    <fill>
      <patternFill patternType="solid">
        <fgColor theme="5" tint="0.79998168889431442"/>
        <bgColor indexed="1"/>
      </patternFill>
    </fill>
    <fill>
      <patternFill patternType="solid">
        <fgColor theme="5" tint="0.79998168889431442"/>
        <bgColor theme="0"/>
      </patternFill>
    </fill>
    <fill>
      <patternFill patternType="solid">
        <fgColor rgb="FF463668"/>
        <bgColor indexed="64"/>
      </patternFill>
    </fill>
    <fill>
      <patternFill patternType="solid">
        <fgColor rgb="FFFFFFFF"/>
        <bgColor indexed="64"/>
      </patternFill>
    </fill>
    <fill>
      <patternFill patternType="solid">
        <fgColor rgb="FFF5F3F8"/>
        <bgColor indexed="64"/>
      </patternFill>
    </fill>
    <fill>
      <patternFill patternType="solid">
        <fgColor rgb="FFD9E2F3"/>
        <bgColor indexed="64"/>
      </patternFill>
    </fill>
    <fill>
      <patternFill patternType="solid">
        <fgColor rgb="FF1F4E78"/>
        <bgColor indexed="64"/>
      </patternFill>
    </fill>
    <fill>
      <patternFill patternType="solid">
        <fgColor theme="0" tint="-0.249977111117893"/>
        <bgColor indexed="64"/>
      </patternFill>
    </fill>
    <fill>
      <patternFill patternType="solid">
        <fgColor rgb="FFE7E6E6"/>
        <bgColor indexed="64"/>
      </patternFill>
    </fill>
    <fill>
      <patternFill patternType="solid">
        <fgColor theme="0" tint="-0.14999847407452621"/>
        <bgColor indexed="64"/>
      </patternFill>
    </fill>
  </fills>
  <borders count="43">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style="thin">
        <color auto="1"/>
      </top>
      <bottom style="double">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indexed="64"/>
      </right>
      <top style="medium">
        <color indexed="64"/>
      </top>
      <bottom style="thin">
        <color auto="1"/>
      </bottom>
      <diagonal/>
    </border>
    <border>
      <left style="hair">
        <color rgb="FFD9D9D9"/>
      </left>
      <right style="hair">
        <color rgb="FFD9D9D9"/>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auto="1"/>
      </bottom>
      <diagonal/>
    </border>
    <border>
      <left/>
      <right/>
      <top/>
      <bottom style="hair">
        <color rgb="FFD9D9D9"/>
      </bottom>
      <diagonal/>
    </border>
    <border>
      <left/>
      <right/>
      <top style="hair">
        <color rgb="FFD9D9D9"/>
      </top>
      <bottom style="hair">
        <color rgb="FFD9D9D9"/>
      </bottom>
      <diagonal/>
    </border>
    <border>
      <left/>
      <right/>
      <top style="hair">
        <color rgb="FFD9D9D9"/>
      </top>
      <bottom/>
      <diagonal/>
    </border>
    <border>
      <left/>
      <right style="hair">
        <color rgb="FFD9D9D9"/>
      </right>
      <top/>
      <bottom style="hair">
        <color rgb="FFD9D9D9"/>
      </bottom>
      <diagonal/>
    </border>
    <border>
      <left/>
      <right style="hair">
        <color rgb="FFD9D9D9"/>
      </right>
      <top style="hair">
        <color rgb="FFD9D9D9"/>
      </top>
      <bottom style="hair">
        <color rgb="FFD9D9D9"/>
      </bottom>
      <diagonal/>
    </border>
    <border>
      <left/>
      <right/>
      <top style="double">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164" fontId="31" fillId="0" borderId="0" applyFont="0" applyFill="0" applyBorder="0" applyAlignment="0" applyProtection="0">
      <alignment vertical="center"/>
    </xf>
    <xf numFmtId="43" fontId="11" fillId="0" borderId="0" applyFont="0" applyFill="0" applyBorder="0" applyAlignment="0" applyProtection="0"/>
    <xf numFmtId="43" fontId="24" fillId="0" borderId="0" applyFont="0" applyFill="0" applyBorder="0" applyAlignment="0" applyProtection="0"/>
    <xf numFmtId="49" fontId="2" fillId="0" borderId="0">
      <alignment horizontal="center" vertical="top"/>
    </xf>
    <xf numFmtId="0" fontId="31" fillId="0" borderId="0" applyBorder="0"/>
    <xf numFmtId="0" fontId="31" fillId="0" borderId="0"/>
    <xf numFmtId="0" fontId="31" fillId="0" borderId="0"/>
    <xf numFmtId="0" fontId="24" fillId="0" borderId="0"/>
    <xf numFmtId="165" fontId="24" fillId="0" borderId="0"/>
    <xf numFmtId="166" fontId="11" fillId="0" borderId="0"/>
    <xf numFmtId="0" fontId="24" fillId="0" borderId="0"/>
    <xf numFmtId="0" fontId="24" fillId="0" borderId="0"/>
    <xf numFmtId="164" fontId="24"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alignment vertical="center"/>
    </xf>
    <xf numFmtId="164" fontId="24" fillId="0" borderId="0" applyFont="0" applyFill="0" applyBorder="0" applyAlignment="0" applyProtection="0">
      <alignment vertical="center"/>
    </xf>
    <xf numFmtId="164" fontId="31" fillId="0" borderId="0" applyFont="0" applyFill="0" applyBorder="0" applyAlignment="0" applyProtection="0">
      <alignment vertical="center"/>
    </xf>
    <xf numFmtId="0" fontId="27" fillId="0" borderId="0"/>
    <xf numFmtId="0" fontId="28" fillId="0" borderId="0">
      <alignment vertical="center"/>
    </xf>
    <xf numFmtId="0" fontId="26" fillId="0" borderId="0"/>
    <xf numFmtId="167" fontId="11" fillId="0" borderId="0">
      <alignment vertical="center"/>
    </xf>
    <xf numFmtId="0" fontId="31" fillId="0" borderId="0" applyBorder="0"/>
    <xf numFmtId="0" fontId="11" fillId="0" borderId="0"/>
    <xf numFmtId="0" fontId="24" fillId="0" borderId="0">
      <alignment vertical="center"/>
    </xf>
    <xf numFmtId="0" fontId="26" fillId="0" borderId="0">
      <alignment vertical="center"/>
    </xf>
    <xf numFmtId="0" fontId="26" fillId="0" borderId="0"/>
    <xf numFmtId="0" fontId="24" fillId="0" borderId="0">
      <alignment vertical="center"/>
    </xf>
    <xf numFmtId="0" fontId="24" fillId="0" borderId="0"/>
    <xf numFmtId="166" fontId="11" fillId="0" borderId="0"/>
    <xf numFmtId="0" fontId="31" fillId="0" borderId="0"/>
    <xf numFmtId="9" fontId="26" fillId="0" borderId="0" applyFont="0" applyFill="0" applyBorder="0" applyAlignment="0" applyProtection="0">
      <alignment vertical="center"/>
    </xf>
    <xf numFmtId="9" fontId="29" fillId="0" borderId="0" applyFont="0" applyFill="0" applyBorder="0" applyAlignment="0" applyProtection="0">
      <alignment vertical="center"/>
    </xf>
    <xf numFmtId="0" fontId="30" fillId="0" borderId="0"/>
    <xf numFmtId="9"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164" fontId="30" fillId="0" borderId="0" applyFont="0" applyFill="0" applyBorder="0" applyAlignment="0" applyProtection="0">
      <alignment vertical="center"/>
    </xf>
    <xf numFmtId="168" fontId="26" fillId="0" borderId="0"/>
    <xf numFmtId="0" fontId="29" fillId="0" borderId="0"/>
    <xf numFmtId="0" fontId="1" fillId="0" borderId="0"/>
    <xf numFmtId="43" fontId="1" fillId="0" borderId="0" applyFont="0" applyFill="0" applyBorder="0" applyAlignment="0" applyProtection="0"/>
    <xf numFmtId="0" fontId="34" fillId="0" borderId="0"/>
  </cellStyleXfs>
  <cellXfs count="356">
    <xf numFmtId="0" fontId="0" fillId="0" borderId="0" xfId="0"/>
    <xf numFmtId="166" fontId="9" fillId="0" borderId="0" xfId="29" applyFont="1" applyAlignment="1">
      <alignment vertical="top"/>
    </xf>
    <xf numFmtId="166" fontId="10" fillId="0" borderId="0" xfId="29" applyFont="1" applyAlignment="1">
      <alignment vertical="top"/>
    </xf>
    <xf numFmtId="0" fontId="11" fillId="10" borderId="0" xfId="0" applyFont="1" applyFill="1" applyAlignment="1">
      <alignment horizontal="center" vertical="top" wrapText="1"/>
    </xf>
    <xf numFmtId="0" fontId="11" fillId="10" borderId="0" xfId="0" applyFont="1" applyFill="1" applyAlignment="1">
      <alignment horizontal="left" vertical="top" wrapText="1"/>
    </xf>
    <xf numFmtId="0" fontId="12" fillId="10" borderId="0" xfId="0" applyFont="1" applyFill="1" applyAlignment="1">
      <alignment horizontal="left" vertical="top" wrapText="1"/>
    </xf>
    <xf numFmtId="0" fontId="13" fillId="11" borderId="0" xfId="0" applyFont="1" applyFill="1" applyAlignment="1">
      <alignment vertical="top"/>
    </xf>
    <xf numFmtId="49" fontId="14" fillId="12" borderId="15" xfId="29" applyNumberFormat="1" applyFont="1" applyFill="1" applyBorder="1" applyAlignment="1">
      <alignment horizontal="center" vertical="top"/>
    </xf>
    <xf numFmtId="0" fontId="16" fillId="0" borderId="0" xfId="0" applyFont="1" applyAlignment="1" applyProtection="1">
      <alignment vertical="top"/>
      <protection hidden="1"/>
    </xf>
    <xf numFmtId="49" fontId="17" fillId="0" borderId="0" xfId="18" applyNumberFormat="1" applyFont="1" applyAlignment="1" applyProtection="1">
      <alignment vertical="top"/>
      <protection hidden="1"/>
    </xf>
    <xf numFmtId="49" fontId="18" fillId="0" borderId="0" xfId="18" applyNumberFormat="1" applyFont="1" applyAlignment="1" applyProtection="1">
      <alignment vertical="top"/>
      <protection hidden="1"/>
    </xf>
    <xf numFmtId="49" fontId="19" fillId="0" borderId="0" xfId="18" applyNumberFormat="1" applyFont="1" applyAlignment="1" applyProtection="1">
      <alignment vertical="top"/>
      <protection hidden="1"/>
    </xf>
    <xf numFmtId="0" fontId="16" fillId="0" borderId="0" xfId="18" applyFont="1" applyAlignment="1" applyProtection="1">
      <alignment vertical="top" wrapText="1"/>
      <protection hidden="1"/>
    </xf>
    <xf numFmtId="0" fontId="16" fillId="0" borderId="0" xfId="18" applyFont="1" applyAlignment="1" applyProtection="1">
      <alignment vertical="top"/>
      <protection hidden="1"/>
    </xf>
    <xf numFmtId="49" fontId="17" fillId="0" borderId="17" xfId="18" applyNumberFormat="1" applyFont="1" applyBorder="1" applyAlignment="1" applyProtection="1">
      <alignment vertical="top"/>
      <protection hidden="1"/>
    </xf>
    <xf numFmtId="49" fontId="18" fillId="0" borderId="18" xfId="18" applyNumberFormat="1" applyFont="1" applyBorder="1" applyAlignment="1" applyProtection="1">
      <alignment vertical="top"/>
      <protection hidden="1"/>
    </xf>
    <xf numFmtId="49" fontId="19" fillId="0" borderId="18" xfId="18" applyNumberFormat="1" applyFont="1" applyBorder="1" applyAlignment="1" applyProtection="1">
      <alignment vertical="top"/>
      <protection hidden="1"/>
    </xf>
    <xf numFmtId="164" fontId="21" fillId="0" borderId="19" xfId="1" applyFont="1" applyFill="1" applyBorder="1" applyAlignment="1" applyProtection="1">
      <alignment horizontal="right" vertical="top" wrapText="1"/>
      <protection hidden="1"/>
    </xf>
    <xf numFmtId="49" fontId="17" fillId="0" borderId="20" xfId="18" applyNumberFormat="1" applyFont="1" applyBorder="1" applyAlignment="1" applyProtection="1">
      <alignment vertical="top"/>
      <protection hidden="1"/>
    </xf>
    <xf numFmtId="0" fontId="16" fillId="0" borderId="21" xfId="18" applyFont="1" applyBorder="1" applyAlignment="1" applyProtection="1">
      <alignment vertical="top" wrapText="1"/>
      <protection hidden="1"/>
    </xf>
    <xf numFmtId="0" fontId="16" fillId="0" borderId="21" xfId="18" applyFont="1" applyBorder="1" applyAlignment="1" applyProtection="1">
      <alignment horizontal="left" vertical="top" wrapText="1"/>
      <protection hidden="1"/>
    </xf>
    <xf numFmtId="0" fontId="22" fillId="0" borderId="21" xfId="18" applyFont="1" applyBorder="1" applyAlignment="1" applyProtection="1">
      <alignment vertical="top" wrapText="1"/>
      <protection hidden="1"/>
    </xf>
    <xf numFmtId="49" fontId="18" fillId="0" borderId="0" xfId="0" applyNumberFormat="1" applyFont="1" applyAlignment="1" applyProtection="1">
      <alignment vertical="top"/>
      <protection hidden="1"/>
    </xf>
    <xf numFmtId="49" fontId="19" fillId="0" borderId="0" xfId="0" applyNumberFormat="1" applyFont="1" applyAlignment="1" applyProtection="1">
      <alignment vertical="top"/>
      <protection hidden="1"/>
    </xf>
    <xf numFmtId="0" fontId="16" fillId="0" borderId="21" xfId="0" applyFont="1" applyBorder="1" applyAlignment="1" applyProtection="1">
      <alignment vertical="top" wrapText="1"/>
      <protection hidden="1"/>
    </xf>
    <xf numFmtId="49" fontId="17" fillId="0" borderId="20" xfId="0" applyNumberFormat="1" applyFont="1" applyBorder="1" applyAlignment="1" applyProtection="1">
      <alignment vertical="top"/>
      <protection hidden="1"/>
    </xf>
    <xf numFmtId="0" fontId="16" fillId="0" borderId="21" xfId="0" applyFont="1" applyBorder="1" applyAlignment="1" applyProtection="1">
      <alignment horizontal="left" vertical="top" wrapText="1"/>
      <protection hidden="1"/>
    </xf>
    <xf numFmtId="49" fontId="17" fillId="0" borderId="22" xfId="0" applyNumberFormat="1" applyFont="1" applyBorder="1" applyAlignment="1" applyProtection="1">
      <alignment vertical="top"/>
      <protection hidden="1"/>
    </xf>
    <xf numFmtId="49" fontId="18" fillId="0" borderId="23" xfId="0" applyNumberFormat="1" applyFont="1" applyBorder="1" applyAlignment="1" applyProtection="1">
      <alignment vertical="top"/>
      <protection hidden="1"/>
    </xf>
    <xf numFmtId="49" fontId="19" fillId="0" borderId="23" xfId="0" applyNumberFormat="1" applyFont="1" applyBorder="1" applyAlignment="1" applyProtection="1">
      <alignment vertical="top"/>
      <protection hidden="1"/>
    </xf>
    <xf numFmtId="0" fontId="16" fillId="0" borderId="24" xfId="0" applyFont="1" applyBorder="1" applyAlignment="1" applyProtection="1">
      <alignment vertical="top" wrapText="1"/>
      <protection hidden="1"/>
    </xf>
    <xf numFmtId="0" fontId="16" fillId="0" borderId="0" xfId="8" applyFont="1" applyAlignment="1">
      <alignment horizontal="left" vertical="center"/>
    </xf>
    <xf numFmtId="0" fontId="16" fillId="0" borderId="0" xfId="8" applyFont="1" applyAlignment="1">
      <alignment horizontal="center" vertical="top"/>
    </xf>
    <xf numFmtId="0" fontId="16" fillId="0" borderId="0" xfId="8" applyFont="1" applyAlignment="1">
      <alignment vertical="top"/>
    </xf>
    <xf numFmtId="0" fontId="16" fillId="0" borderId="0" xfId="8" applyFont="1" applyAlignment="1">
      <alignment horizontal="justify" vertical="top"/>
    </xf>
    <xf numFmtId="0" fontId="24" fillId="0" borderId="0" xfId="8"/>
    <xf numFmtId="0" fontId="25" fillId="11" borderId="0" xfId="8" applyFont="1" applyFill="1" applyAlignment="1">
      <alignment vertical="top"/>
    </xf>
    <xf numFmtId="0" fontId="25" fillId="11" borderId="0" xfId="8" applyFont="1" applyFill="1" applyAlignment="1">
      <alignment vertical="top" wrapText="1"/>
    </xf>
    <xf numFmtId="0" fontId="25" fillId="11" borderId="0" xfId="8" applyFont="1" applyFill="1" applyAlignment="1">
      <alignment horizontal="left" vertical="top"/>
    </xf>
    <xf numFmtId="0" fontId="25" fillId="11" borderId="0" xfId="8" applyFont="1" applyFill="1" applyAlignment="1">
      <alignment horizontal="center" vertical="top"/>
    </xf>
    <xf numFmtId="0" fontId="25" fillId="2" borderId="0" xfId="8" applyFont="1" applyFill="1" applyAlignment="1">
      <alignment vertical="top" wrapText="1"/>
    </xf>
    <xf numFmtId="0" fontId="25" fillId="11" borderId="0" xfId="8" applyFont="1" applyFill="1" applyAlignment="1">
      <alignment horizontal="left" vertical="top" wrapText="1"/>
    </xf>
    <xf numFmtId="0" fontId="16" fillId="0" borderId="0" xfId="8" applyFont="1" applyAlignment="1">
      <alignment vertical="top" wrapText="1"/>
    </xf>
    <xf numFmtId="0" fontId="20" fillId="11" borderId="0" xfId="8" applyFont="1" applyFill="1" applyAlignment="1">
      <alignment vertical="top" wrapText="1"/>
    </xf>
    <xf numFmtId="0" fontId="20" fillId="11" borderId="0" xfId="8" applyFont="1" applyFill="1" applyAlignment="1">
      <alignment horizontal="center" vertical="top"/>
    </xf>
    <xf numFmtId="49" fontId="19" fillId="0" borderId="0" xfId="18" quotePrefix="1" applyNumberFormat="1" applyFont="1" applyAlignment="1" applyProtection="1">
      <alignment vertical="top"/>
      <protection hidden="1"/>
    </xf>
    <xf numFmtId="0" fontId="14" fillId="3" borderId="25" xfId="0" applyFont="1" applyFill="1" applyBorder="1" applyAlignment="1">
      <alignment vertical="top"/>
    </xf>
    <xf numFmtId="164" fontId="11" fillId="0" borderId="0" xfId="1" applyFont="1" applyAlignment="1">
      <alignment vertical="top"/>
    </xf>
    <xf numFmtId="3" fontId="2" fillId="2" borderId="0" xfId="2" applyNumberFormat="1" applyFont="1" applyFill="1" applyAlignment="1" applyProtection="1">
      <alignment vertical="top"/>
      <protection locked="0"/>
    </xf>
    <xf numFmtId="3" fontId="2" fillId="2" borderId="0" xfId="2" applyNumberFormat="1" applyFont="1" applyFill="1" applyAlignment="1" applyProtection="1">
      <alignment horizontal="left" vertical="top"/>
      <protection locked="0"/>
    </xf>
    <xf numFmtId="3" fontId="2" fillId="4" borderId="0" xfId="2" applyNumberFormat="1" applyFont="1" applyFill="1" applyAlignment="1" applyProtection="1">
      <alignment horizontal="left" vertical="top"/>
      <protection locked="0"/>
    </xf>
    <xf numFmtId="3" fontId="2" fillId="6" borderId="9" xfId="2" applyNumberFormat="1" applyFont="1" applyFill="1" applyBorder="1" applyAlignment="1" applyProtection="1">
      <alignment vertical="top"/>
      <protection locked="0"/>
    </xf>
    <xf numFmtId="3" fontId="6" fillId="6" borderId="10" xfId="2" applyNumberFormat="1" applyFont="1" applyFill="1" applyBorder="1" applyAlignment="1" applyProtection="1">
      <alignment vertical="top"/>
      <protection locked="0"/>
    </xf>
    <xf numFmtId="3" fontId="7" fillId="8" borderId="2" xfId="2" applyNumberFormat="1" applyFont="1" applyFill="1" applyBorder="1" applyAlignment="1" applyProtection="1">
      <alignment vertical="top"/>
      <protection locked="0"/>
    </xf>
    <xf numFmtId="3" fontId="2" fillId="7" borderId="9" xfId="2" applyNumberFormat="1" applyFont="1" applyFill="1" applyBorder="1" applyAlignment="1" applyProtection="1">
      <alignment vertical="top"/>
      <protection locked="0"/>
    </xf>
    <xf numFmtId="3" fontId="6" fillId="7" borderId="10" xfId="2" applyNumberFormat="1" applyFont="1" applyFill="1" applyBorder="1" applyAlignment="1" applyProtection="1">
      <alignment vertical="top"/>
      <protection locked="0"/>
    </xf>
    <xf numFmtId="3" fontId="7" fillId="9" borderId="2" xfId="2" applyNumberFormat="1" applyFont="1" applyFill="1" applyBorder="1" applyAlignment="1" applyProtection="1">
      <alignment vertical="top"/>
      <protection locked="0"/>
    </xf>
    <xf numFmtId="0" fontId="2" fillId="2" borderId="0" xfId="40" applyFont="1" applyFill="1" applyAlignment="1" applyProtection="1">
      <alignment horizontal="center" vertical="top"/>
      <protection locked="0"/>
    </xf>
    <xf numFmtId="0" fontId="2" fillId="2" borderId="0" xfId="40" applyFont="1" applyFill="1" applyAlignment="1" applyProtection="1">
      <alignment vertical="top" wrapText="1"/>
      <protection locked="0"/>
    </xf>
    <xf numFmtId="0" fontId="2" fillId="2" borderId="0" xfId="40" applyFont="1" applyFill="1" applyAlignment="1" applyProtection="1">
      <alignment horizontal="center" vertical="top" wrapText="1"/>
      <protection locked="0"/>
    </xf>
    <xf numFmtId="3" fontId="2" fillId="2" borderId="0" xfId="40" applyNumberFormat="1" applyFont="1" applyFill="1" applyAlignment="1" applyProtection="1">
      <alignment horizontal="center" vertical="top" wrapText="1"/>
      <protection locked="0"/>
    </xf>
    <xf numFmtId="3" fontId="2" fillId="2" borderId="0" xfId="40" applyNumberFormat="1" applyFont="1" applyFill="1" applyAlignment="1" applyProtection="1">
      <alignment horizontal="center" vertical="top"/>
      <protection locked="0"/>
    </xf>
    <xf numFmtId="3" fontId="2" fillId="2" borderId="0" xfId="40" applyNumberFormat="1" applyFont="1" applyFill="1" applyAlignment="1" applyProtection="1">
      <alignment vertical="top" wrapText="1"/>
      <protection locked="0"/>
    </xf>
    <xf numFmtId="3" fontId="2" fillId="2" borderId="0" xfId="41" applyNumberFormat="1" applyFont="1" applyFill="1" applyAlignment="1" applyProtection="1">
      <alignment horizontal="center" vertical="top"/>
      <protection locked="0"/>
    </xf>
    <xf numFmtId="3" fontId="2" fillId="2" borderId="0" xfId="41" applyNumberFormat="1" applyFont="1" applyFill="1" applyBorder="1" applyAlignment="1" applyProtection="1">
      <alignment vertical="top"/>
      <protection locked="0"/>
    </xf>
    <xf numFmtId="3" fontId="2" fillId="2" borderId="0" xfId="40" applyNumberFormat="1" applyFont="1" applyFill="1" applyAlignment="1" applyProtection="1">
      <alignment vertical="top"/>
      <protection locked="0"/>
    </xf>
    <xf numFmtId="0" fontId="5" fillId="2" borderId="0" xfId="40" applyFont="1" applyFill="1" applyAlignment="1" applyProtection="1">
      <alignment horizontal="left" vertical="top" wrapText="1"/>
      <protection locked="0"/>
    </xf>
    <xf numFmtId="0" fontId="2" fillId="2" borderId="0" xfId="40" applyFont="1" applyFill="1" applyAlignment="1" applyProtection="1">
      <alignment vertical="top"/>
      <protection locked="0"/>
    </xf>
    <xf numFmtId="170" fontId="3" fillId="2" borderId="0" xfId="40" applyNumberFormat="1" applyFont="1" applyFill="1" applyAlignment="1" applyProtection="1">
      <alignment horizontal="left" vertical="top"/>
      <protection locked="0"/>
    </xf>
    <xf numFmtId="0" fontId="2" fillId="2" borderId="0" xfId="40" applyFont="1" applyFill="1" applyAlignment="1" applyProtection="1">
      <alignment horizontal="left" vertical="top" wrapText="1"/>
      <protection locked="0"/>
    </xf>
    <xf numFmtId="3" fontId="2" fillId="2" borderId="0" xfId="40" applyNumberFormat="1" applyFont="1" applyFill="1" applyAlignment="1" applyProtection="1">
      <alignment horizontal="left" vertical="top" wrapText="1"/>
      <protection locked="0"/>
    </xf>
    <xf numFmtId="3" fontId="2" fillId="2" borderId="0" xfId="40" applyNumberFormat="1" applyFont="1" applyFill="1" applyAlignment="1" applyProtection="1">
      <alignment horizontal="left" vertical="top"/>
      <protection locked="0"/>
    </xf>
    <xf numFmtId="3" fontId="2" fillId="2" borderId="0" xfId="41" applyNumberFormat="1" applyFont="1" applyFill="1" applyAlignment="1" applyProtection="1">
      <alignment horizontal="left" vertical="top"/>
      <protection locked="0"/>
    </xf>
    <xf numFmtId="0" fontId="2" fillId="2" borderId="0" xfId="40" applyFont="1" applyFill="1" applyAlignment="1" applyProtection="1">
      <alignment horizontal="left" vertical="top"/>
      <protection locked="0"/>
    </xf>
    <xf numFmtId="3" fontId="2" fillId="2" borderId="0" xfId="41" applyNumberFormat="1" applyFont="1" applyFill="1" applyBorder="1" applyAlignment="1" applyProtection="1">
      <alignment horizontal="left" vertical="top"/>
      <protection locked="0"/>
    </xf>
    <xf numFmtId="169" fontId="3" fillId="2" borderId="0" xfId="40" applyNumberFormat="1" applyFont="1" applyFill="1" applyAlignment="1" applyProtection="1">
      <alignment horizontal="right" vertical="top"/>
      <protection locked="0"/>
    </xf>
    <xf numFmtId="170" fontId="2" fillId="0" borderId="0" xfId="42" applyNumberFormat="1" applyFont="1" applyAlignment="1" applyProtection="1">
      <alignment horizontal="left" vertical="top"/>
      <protection locked="0"/>
    </xf>
    <xf numFmtId="0" fontId="2" fillId="4" borderId="0" xfId="40" applyFont="1" applyFill="1" applyAlignment="1" applyProtection="1">
      <alignment horizontal="left" vertical="top"/>
      <protection locked="0"/>
    </xf>
    <xf numFmtId="0" fontId="2" fillId="4" borderId="0" xfId="40" applyFont="1" applyFill="1" applyAlignment="1" applyProtection="1">
      <alignment horizontal="left" vertical="top" wrapText="1"/>
      <protection locked="0"/>
    </xf>
    <xf numFmtId="3" fontId="2" fillId="4" borderId="0" xfId="40" applyNumberFormat="1" applyFont="1" applyFill="1" applyAlignment="1" applyProtection="1">
      <alignment horizontal="left" vertical="top" wrapText="1"/>
      <protection locked="0"/>
    </xf>
    <xf numFmtId="3" fontId="2" fillId="4" borderId="0" xfId="40" applyNumberFormat="1" applyFont="1" applyFill="1" applyAlignment="1" applyProtection="1">
      <alignment horizontal="left" vertical="top"/>
      <protection locked="0"/>
    </xf>
    <xf numFmtId="3" fontId="2" fillId="4" borderId="0" xfId="41" applyNumberFormat="1" applyFont="1" applyFill="1" applyAlignment="1" applyProtection="1">
      <alignment horizontal="left" vertical="top"/>
      <protection locked="0"/>
    </xf>
    <xf numFmtId="3" fontId="2" fillId="4" borderId="0" xfId="41" applyNumberFormat="1" applyFont="1" applyFill="1" applyBorder="1" applyAlignment="1" applyProtection="1">
      <alignment horizontal="left" vertical="top"/>
      <protection locked="0"/>
    </xf>
    <xf numFmtId="0" fontId="5" fillId="0" borderId="0" xfId="40" applyFont="1" applyAlignment="1" applyProtection="1">
      <alignment horizontal="left" vertical="top" wrapText="1"/>
      <protection locked="0"/>
    </xf>
    <xf numFmtId="0" fontId="2" fillId="0" borderId="0" xfId="40" applyFont="1" applyAlignment="1" applyProtection="1">
      <alignment vertical="top"/>
      <protection locked="0"/>
    </xf>
    <xf numFmtId="170" fontId="2" fillId="2" borderId="0" xfId="40" applyNumberFormat="1" applyFont="1" applyFill="1" applyAlignment="1" applyProtection="1">
      <alignment horizontal="left" vertical="top"/>
      <protection locked="0"/>
    </xf>
    <xf numFmtId="170" fontId="4" fillId="2" borderId="0" xfId="40" applyNumberFormat="1" applyFont="1" applyFill="1" applyAlignment="1" applyProtection="1">
      <alignment horizontal="left" vertical="top" wrapText="1"/>
      <protection locked="0"/>
    </xf>
    <xf numFmtId="170" fontId="4" fillId="2" borderId="0" xfId="40" applyNumberFormat="1" applyFont="1" applyFill="1" applyAlignment="1" applyProtection="1">
      <alignment horizontal="center" vertical="top" wrapText="1"/>
      <protection locked="0"/>
    </xf>
    <xf numFmtId="3" fontId="4" fillId="2" borderId="0" xfId="40" applyNumberFormat="1" applyFont="1" applyFill="1" applyAlignment="1" applyProtection="1">
      <alignment horizontal="center" vertical="top" wrapText="1"/>
      <protection locked="0"/>
    </xf>
    <xf numFmtId="3" fontId="4" fillId="2" borderId="0" xfId="40" applyNumberFormat="1" applyFont="1" applyFill="1" applyAlignment="1" applyProtection="1">
      <alignment horizontal="left" vertical="top" wrapText="1"/>
      <protection locked="0"/>
    </xf>
    <xf numFmtId="3" fontId="2" fillId="2" borderId="0" xfId="41" applyNumberFormat="1" applyFont="1" applyFill="1" applyBorder="1" applyAlignment="1" applyProtection="1">
      <alignment horizontal="left" vertical="top" wrapText="1"/>
      <protection locked="0"/>
    </xf>
    <xf numFmtId="170" fontId="6" fillId="2" borderId="0" xfId="40" applyNumberFormat="1" applyFont="1" applyFill="1" applyAlignment="1" applyProtection="1">
      <alignment horizontal="left" vertical="top" wrapText="1"/>
      <protection locked="0"/>
    </xf>
    <xf numFmtId="3" fontId="3" fillId="3" borderId="3" xfId="41" applyNumberFormat="1" applyFont="1" applyFill="1" applyBorder="1" applyAlignment="1" applyProtection="1">
      <alignment horizontal="center" vertical="top" wrapText="1"/>
      <protection locked="0"/>
    </xf>
    <xf numFmtId="3" fontId="3" fillId="14" borderId="11" xfId="40" quotePrefix="1" applyNumberFormat="1" applyFont="1" applyFill="1" applyBorder="1" applyAlignment="1" applyProtection="1">
      <alignment horizontal="center" vertical="top" wrapText="1"/>
      <protection locked="0"/>
    </xf>
    <xf numFmtId="3" fontId="3" fillId="14" borderId="11" xfId="40" applyNumberFormat="1" applyFont="1" applyFill="1" applyBorder="1" applyAlignment="1" applyProtection="1">
      <alignment horizontal="center" vertical="top" wrapText="1"/>
      <protection locked="0"/>
    </xf>
    <xf numFmtId="3" fontId="3" fillId="17" borderId="11" xfId="40" applyNumberFormat="1" applyFont="1" applyFill="1" applyBorder="1" applyAlignment="1" applyProtection="1">
      <alignment horizontal="center" vertical="top" wrapText="1"/>
      <protection locked="0"/>
    </xf>
    <xf numFmtId="3" fontId="3" fillId="6" borderId="8" xfId="40" applyNumberFormat="1" applyFont="1" applyFill="1" applyBorder="1" applyAlignment="1" applyProtection="1">
      <alignment horizontal="center" vertical="top" wrapText="1"/>
      <protection locked="0"/>
    </xf>
    <xf numFmtId="3" fontId="3" fillId="6" borderId="3" xfId="40" applyNumberFormat="1" applyFont="1" applyFill="1" applyBorder="1" applyAlignment="1" applyProtection="1">
      <alignment horizontal="center" vertical="top" wrapText="1"/>
      <protection locked="0"/>
    </xf>
    <xf numFmtId="3" fontId="3" fillId="8" borderId="3" xfId="40" applyNumberFormat="1" applyFont="1" applyFill="1" applyBorder="1" applyAlignment="1" applyProtection="1">
      <alignment horizontal="center" vertical="top" wrapText="1"/>
      <protection locked="0"/>
    </xf>
    <xf numFmtId="3" fontId="3" fillId="6" borderId="11" xfId="40" applyNumberFormat="1" applyFont="1" applyFill="1" applyBorder="1" applyAlignment="1" applyProtection="1">
      <alignment horizontal="center" vertical="top" wrapText="1"/>
      <protection locked="0"/>
    </xf>
    <xf numFmtId="3" fontId="3" fillId="7" borderId="3" xfId="40" applyNumberFormat="1" applyFont="1" applyFill="1" applyBorder="1" applyAlignment="1" applyProtection="1">
      <alignment horizontal="center" vertical="top" wrapText="1"/>
      <protection locked="0"/>
    </xf>
    <xf numFmtId="3" fontId="3" fillId="9" borderId="3" xfId="40" applyNumberFormat="1" applyFont="1" applyFill="1" applyBorder="1" applyAlignment="1" applyProtection="1">
      <alignment horizontal="center" vertical="top" wrapText="1"/>
      <protection locked="0"/>
    </xf>
    <xf numFmtId="3" fontId="3" fillId="7" borderId="11" xfId="40" applyNumberFormat="1" applyFont="1" applyFill="1" applyBorder="1" applyAlignment="1" applyProtection="1">
      <alignment horizontal="center" vertical="top" wrapText="1"/>
      <protection locked="0"/>
    </xf>
    <xf numFmtId="3" fontId="3" fillId="3" borderId="3" xfId="40" applyNumberFormat="1" applyFont="1" applyFill="1" applyBorder="1" applyAlignment="1" applyProtection="1">
      <alignment horizontal="center" vertical="top" wrapText="1"/>
      <protection locked="0"/>
    </xf>
    <xf numFmtId="3" fontId="3" fillId="6" borderId="6" xfId="40" applyNumberFormat="1" applyFont="1" applyFill="1" applyBorder="1" applyAlignment="1" applyProtection="1">
      <alignment horizontal="center" vertical="top" wrapText="1"/>
      <protection locked="0"/>
    </xf>
    <xf numFmtId="3" fontId="3" fillId="7" borderId="6" xfId="40" applyNumberFormat="1" applyFont="1" applyFill="1" applyBorder="1" applyAlignment="1" applyProtection="1">
      <alignment horizontal="center" vertical="top" wrapText="1"/>
      <protection locked="0"/>
    </xf>
    <xf numFmtId="0" fontId="2" fillId="3" borderId="0" xfId="40" applyFont="1" applyFill="1" applyAlignment="1" applyProtection="1">
      <alignment vertical="top"/>
      <protection locked="0"/>
    </xf>
    <xf numFmtId="0" fontId="3" fillId="2" borderId="9" xfId="40" applyFont="1" applyFill="1" applyBorder="1" applyAlignment="1">
      <alignment horizontal="center" vertical="top"/>
    </xf>
    <xf numFmtId="0" fontId="4" fillId="2" borderId="9" xfId="40" applyFont="1" applyFill="1" applyBorder="1" applyAlignment="1">
      <alignment vertical="top" wrapText="1"/>
    </xf>
    <xf numFmtId="0" fontId="4" fillId="2" borderId="9" xfId="40" applyFont="1" applyFill="1" applyBorder="1" applyAlignment="1" applyProtection="1">
      <alignment horizontal="center" vertical="top" wrapText="1"/>
      <protection locked="0"/>
    </xf>
    <xf numFmtId="0" fontId="4" fillId="2" borderId="10" xfId="40" applyFont="1" applyFill="1" applyBorder="1" applyAlignment="1" applyProtection="1">
      <alignment horizontal="center" vertical="top" wrapText="1"/>
      <protection locked="0"/>
    </xf>
    <xf numFmtId="0" fontId="6" fillId="14" borderId="9" xfId="40" applyFont="1" applyFill="1" applyBorder="1" applyAlignment="1">
      <alignment horizontal="center" vertical="top" wrapText="1"/>
    </xf>
    <xf numFmtId="3" fontId="6" fillId="14" borderId="9" xfId="40" applyNumberFormat="1" applyFont="1" applyFill="1" applyBorder="1" applyAlignment="1">
      <alignment horizontal="center" vertical="top" wrapText="1"/>
    </xf>
    <xf numFmtId="3" fontId="6" fillId="14" borderId="9" xfId="40" applyNumberFormat="1" applyFont="1" applyFill="1" applyBorder="1" applyAlignment="1">
      <alignment horizontal="center" vertical="top"/>
    </xf>
    <xf numFmtId="3" fontId="6" fillId="17" borderId="9" xfId="40" applyNumberFormat="1" applyFont="1" applyFill="1" applyBorder="1" applyAlignment="1">
      <alignment horizontal="center" vertical="top" wrapText="1"/>
    </xf>
    <xf numFmtId="3" fontId="6" fillId="17" borderId="9" xfId="40" applyNumberFormat="1" applyFont="1" applyFill="1" applyBorder="1" applyAlignment="1">
      <alignment horizontal="center" vertical="top"/>
    </xf>
    <xf numFmtId="3" fontId="6" fillId="6" borderId="13" xfId="40" applyNumberFormat="1" applyFont="1" applyFill="1" applyBorder="1" applyAlignment="1" applyProtection="1">
      <alignment vertical="top" wrapText="1"/>
      <protection locked="0"/>
    </xf>
    <xf numFmtId="3" fontId="6" fillId="6" borderId="9" xfId="40" applyNumberFormat="1" applyFont="1" applyFill="1" applyBorder="1" applyAlignment="1" applyProtection="1">
      <alignment vertical="top" wrapText="1"/>
      <protection locked="0"/>
    </xf>
    <xf numFmtId="3" fontId="6" fillId="8" borderId="9" xfId="40" applyNumberFormat="1" applyFont="1" applyFill="1" applyBorder="1" applyAlignment="1" applyProtection="1">
      <alignment vertical="top" wrapText="1"/>
      <protection locked="0"/>
    </xf>
    <xf numFmtId="3" fontId="5" fillId="6" borderId="9" xfId="41" applyNumberFormat="1" applyFont="1" applyFill="1" applyBorder="1" applyAlignment="1" applyProtection="1">
      <alignment horizontal="center" vertical="top"/>
      <protection locked="0"/>
    </xf>
    <xf numFmtId="3" fontId="6" fillId="7" borderId="9" xfId="40" applyNumberFormat="1" applyFont="1" applyFill="1" applyBorder="1" applyAlignment="1" applyProtection="1">
      <alignment vertical="top" wrapText="1"/>
      <protection locked="0"/>
    </xf>
    <xf numFmtId="3" fontId="6" fillId="9" borderId="9" xfId="40" applyNumberFormat="1" applyFont="1" applyFill="1" applyBorder="1" applyAlignment="1" applyProtection="1">
      <alignment vertical="top" wrapText="1"/>
      <protection locked="0"/>
    </xf>
    <xf numFmtId="3" fontId="5" fillId="7" borderId="9" xfId="41" applyNumberFormat="1" applyFont="1" applyFill="1" applyBorder="1" applyAlignment="1" applyProtection="1">
      <alignment horizontal="center" vertical="top"/>
      <protection locked="0"/>
    </xf>
    <xf numFmtId="0" fontId="6" fillId="2" borderId="9" xfId="40" applyFont="1" applyFill="1" applyBorder="1" applyAlignment="1" applyProtection="1">
      <alignment horizontal="center" vertical="top"/>
      <protection locked="0"/>
    </xf>
    <xf numFmtId="3" fontId="6" fillId="2" borderId="9" xfId="40" applyNumberFormat="1" applyFont="1" applyFill="1" applyBorder="1" applyAlignment="1" applyProtection="1">
      <alignment horizontal="center" vertical="top"/>
      <protection locked="0"/>
    </xf>
    <xf numFmtId="3" fontId="5" fillId="2" borderId="9" xfId="41" applyNumberFormat="1" applyFont="1" applyFill="1" applyBorder="1" applyAlignment="1" applyProtection="1">
      <alignment vertical="top"/>
      <protection locked="0"/>
    </xf>
    <xf numFmtId="3" fontId="6" fillId="6" borderId="9" xfId="40" applyNumberFormat="1" applyFont="1" applyFill="1" applyBorder="1" applyAlignment="1" applyProtection="1">
      <alignment vertical="top"/>
      <protection locked="0"/>
    </xf>
    <xf numFmtId="3" fontId="6" fillId="7" borderId="9" xfId="40" applyNumberFormat="1" applyFont="1" applyFill="1" applyBorder="1" applyAlignment="1" applyProtection="1">
      <alignment vertical="top"/>
      <protection locked="0"/>
    </xf>
    <xf numFmtId="0" fontId="5" fillId="2" borderId="9" xfId="40" applyFont="1" applyFill="1" applyBorder="1" applyAlignment="1" applyProtection="1">
      <alignment horizontal="left" vertical="top" wrapText="1"/>
      <protection locked="0"/>
    </xf>
    <xf numFmtId="0" fontId="6" fillId="2" borderId="0" xfId="40" applyFont="1" applyFill="1" applyAlignment="1" applyProtection="1">
      <alignment vertical="top"/>
      <protection locked="0"/>
    </xf>
    <xf numFmtId="0" fontId="4" fillId="2" borderId="0" xfId="40" applyFont="1" applyFill="1" applyAlignment="1" applyProtection="1">
      <alignment vertical="top"/>
      <protection locked="0"/>
    </xf>
    <xf numFmtId="0" fontId="2" fillId="2" borderId="9" xfId="40" applyFont="1" applyFill="1" applyBorder="1" applyAlignment="1">
      <alignment horizontal="center" vertical="top"/>
    </xf>
    <xf numFmtId="0" fontId="2" fillId="2" borderId="9" xfId="40" applyFont="1" applyFill="1" applyBorder="1" applyAlignment="1">
      <alignment vertical="top" wrapText="1"/>
    </xf>
    <xf numFmtId="3" fontId="5" fillId="6" borderId="13" xfId="40" applyNumberFormat="1" applyFont="1" applyFill="1" applyBorder="1" applyAlignment="1" applyProtection="1">
      <alignment vertical="top" wrapText="1"/>
      <protection locked="0"/>
    </xf>
    <xf numFmtId="3" fontId="5" fillId="6" borderId="9" xfId="40" applyNumberFormat="1" applyFont="1" applyFill="1" applyBorder="1" applyAlignment="1" applyProtection="1">
      <alignment vertical="top" wrapText="1"/>
      <protection locked="0"/>
    </xf>
    <xf numFmtId="3" fontId="5" fillId="8" borderId="9" xfId="40" applyNumberFormat="1" applyFont="1" applyFill="1" applyBorder="1" applyAlignment="1" applyProtection="1">
      <alignment vertical="top" wrapText="1"/>
      <protection locked="0"/>
    </xf>
    <xf numFmtId="3" fontId="5" fillId="6" borderId="9" xfId="41" applyNumberFormat="1" applyFont="1" applyFill="1" applyBorder="1" applyAlignment="1" applyProtection="1">
      <alignment horizontal="center" vertical="top" wrapText="1"/>
      <protection locked="0"/>
    </xf>
    <xf numFmtId="3" fontId="5" fillId="7" borderId="9" xfId="40" applyNumberFormat="1" applyFont="1" applyFill="1" applyBorder="1" applyAlignment="1" applyProtection="1">
      <alignment vertical="top" wrapText="1"/>
      <protection locked="0"/>
    </xf>
    <xf numFmtId="3" fontId="5" fillId="9" borderId="9" xfId="40" applyNumberFormat="1" applyFont="1" applyFill="1" applyBorder="1" applyAlignment="1" applyProtection="1">
      <alignment vertical="top" wrapText="1"/>
      <protection locked="0"/>
    </xf>
    <xf numFmtId="3" fontId="5" fillId="7" borderId="9" xfId="41" applyNumberFormat="1" applyFont="1" applyFill="1" applyBorder="1" applyAlignment="1" applyProtection="1">
      <alignment horizontal="center" vertical="top" wrapText="1"/>
      <protection locked="0"/>
    </xf>
    <xf numFmtId="0" fontId="5" fillId="4" borderId="9" xfId="40" applyFont="1" applyFill="1" applyBorder="1" applyAlignment="1" applyProtection="1">
      <alignment horizontal="center" vertical="top"/>
      <protection locked="0"/>
    </xf>
    <xf numFmtId="3" fontId="5" fillId="2" borderId="9" xfId="40" applyNumberFormat="1" applyFont="1" applyFill="1" applyBorder="1" applyAlignment="1" applyProtection="1">
      <alignment horizontal="center" vertical="top"/>
      <protection locked="0"/>
    </xf>
    <xf numFmtId="3" fontId="2" fillId="2" borderId="9" xfId="41" applyNumberFormat="1" applyFont="1" applyFill="1" applyBorder="1" applyAlignment="1" applyProtection="1">
      <alignment horizontal="center" vertical="top" wrapText="1"/>
      <protection locked="0"/>
    </xf>
    <xf numFmtId="0" fontId="3" fillId="2" borderId="9" xfId="40" applyFont="1" applyFill="1" applyBorder="1" applyAlignment="1">
      <alignment vertical="top" wrapText="1"/>
    </xf>
    <xf numFmtId="0" fontId="5" fillId="2" borderId="9" xfId="40" applyFont="1" applyFill="1" applyBorder="1" applyAlignment="1" applyProtection="1">
      <alignment horizontal="center" vertical="top"/>
      <protection locked="0"/>
    </xf>
    <xf numFmtId="0" fontId="2" fillId="2" borderId="9" xfId="40" applyFont="1" applyFill="1" applyBorder="1" applyAlignment="1">
      <alignment horizontal="center" vertical="center"/>
    </xf>
    <xf numFmtId="0" fontId="4" fillId="2" borderId="9" xfId="40" applyFont="1" applyFill="1" applyBorder="1" applyAlignment="1">
      <alignment horizontal="right" vertical="center" wrapText="1"/>
    </xf>
    <xf numFmtId="0" fontId="4" fillId="2" borderId="9" xfId="40" applyFont="1" applyFill="1" applyBorder="1" applyAlignment="1" applyProtection="1">
      <alignment horizontal="center" vertical="center" wrapText="1"/>
      <protection locked="0"/>
    </xf>
    <xf numFmtId="0" fontId="4" fillId="2" borderId="10" xfId="40" applyFont="1" applyFill="1" applyBorder="1" applyAlignment="1" applyProtection="1">
      <alignment horizontal="center" vertical="center" wrapText="1"/>
      <protection locked="0"/>
    </xf>
    <xf numFmtId="0" fontId="6" fillId="14" borderId="9" xfId="40" applyFont="1" applyFill="1" applyBorder="1" applyAlignment="1">
      <alignment horizontal="center" vertical="center" wrapText="1"/>
    </xf>
    <xf numFmtId="3" fontId="6" fillId="14" borderId="9" xfId="40" applyNumberFormat="1" applyFont="1" applyFill="1" applyBorder="1" applyAlignment="1">
      <alignment horizontal="center" vertical="center" wrapText="1"/>
    </xf>
    <xf numFmtId="3" fontId="6" fillId="14" borderId="9" xfId="40" applyNumberFormat="1" applyFont="1" applyFill="1" applyBorder="1" applyAlignment="1">
      <alignment horizontal="center" vertical="center"/>
    </xf>
    <xf numFmtId="3" fontId="6" fillId="17" borderId="9" xfId="40" applyNumberFormat="1" applyFont="1" applyFill="1" applyBorder="1" applyAlignment="1">
      <alignment horizontal="center" vertical="center" wrapText="1"/>
    </xf>
    <xf numFmtId="3" fontId="6" fillId="17" borderId="9" xfId="40" applyNumberFormat="1" applyFont="1" applyFill="1" applyBorder="1" applyAlignment="1">
      <alignment horizontal="center" vertical="center"/>
    </xf>
    <xf numFmtId="3" fontId="6" fillId="6" borderId="13" xfId="40" applyNumberFormat="1" applyFont="1" applyFill="1" applyBorder="1" applyAlignment="1" applyProtection="1">
      <alignment vertical="center" wrapText="1"/>
      <protection locked="0"/>
    </xf>
    <xf numFmtId="3" fontId="6" fillId="6" borderId="9" xfId="40" applyNumberFormat="1" applyFont="1" applyFill="1" applyBorder="1" applyAlignment="1" applyProtection="1">
      <alignment vertical="center" wrapText="1"/>
      <protection locked="0"/>
    </xf>
    <xf numFmtId="3" fontId="6" fillId="8" borderId="9" xfId="40" applyNumberFormat="1" applyFont="1" applyFill="1" applyBorder="1" applyAlignment="1" applyProtection="1">
      <alignment vertical="center" wrapText="1"/>
      <protection locked="0"/>
    </xf>
    <xf numFmtId="3" fontId="5" fillId="6" borderId="9" xfId="41" applyNumberFormat="1" applyFont="1" applyFill="1" applyBorder="1" applyAlignment="1" applyProtection="1">
      <alignment horizontal="center" vertical="center"/>
      <protection locked="0"/>
    </xf>
    <xf numFmtId="3" fontId="6" fillId="7" borderId="9" xfId="40" applyNumberFormat="1" applyFont="1" applyFill="1" applyBorder="1" applyAlignment="1" applyProtection="1">
      <alignment vertical="center" wrapText="1"/>
      <protection locked="0"/>
    </xf>
    <xf numFmtId="3" fontId="6" fillId="9" borderId="9" xfId="40" applyNumberFormat="1" applyFont="1" applyFill="1" applyBorder="1" applyAlignment="1" applyProtection="1">
      <alignment vertical="center" wrapText="1"/>
      <protection locked="0"/>
    </xf>
    <xf numFmtId="3" fontId="5" fillId="7" borderId="9" xfId="41" applyNumberFormat="1" applyFont="1" applyFill="1" applyBorder="1" applyAlignment="1" applyProtection="1">
      <alignment horizontal="center" vertical="center"/>
      <protection locked="0"/>
    </xf>
    <xf numFmtId="0" fontId="6" fillId="2" borderId="9" xfId="40" applyFont="1" applyFill="1" applyBorder="1" applyAlignment="1" applyProtection="1">
      <alignment horizontal="center" vertical="center"/>
      <protection locked="0"/>
    </xf>
    <xf numFmtId="3" fontId="5" fillId="2" borderId="9" xfId="40" applyNumberFormat="1" applyFont="1" applyFill="1" applyBorder="1" applyAlignment="1" applyProtection="1">
      <alignment horizontal="center" vertical="center"/>
      <protection locked="0"/>
    </xf>
    <xf numFmtId="3" fontId="5" fillId="2" borderId="9" xfId="41" applyNumberFormat="1" applyFont="1" applyFill="1" applyBorder="1" applyAlignment="1" applyProtection="1">
      <alignment vertical="center"/>
      <protection locked="0"/>
    </xf>
    <xf numFmtId="3" fontId="7" fillId="8" borderId="2" xfId="2" applyNumberFormat="1" applyFont="1" applyFill="1" applyBorder="1" applyAlignment="1" applyProtection="1">
      <alignment vertical="center"/>
      <protection locked="0"/>
    </xf>
    <xf numFmtId="3" fontId="7" fillId="9" borderId="2" xfId="2" applyNumberFormat="1" applyFont="1" applyFill="1" applyBorder="1" applyAlignment="1" applyProtection="1">
      <alignment vertical="center"/>
      <protection locked="0"/>
    </xf>
    <xf numFmtId="0" fontId="5" fillId="2" borderId="9" xfId="40" applyFont="1" applyFill="1" applyBorder="1" applyAlignment="1" applyProtection="1">
      <alignment horizontal="left" vertical="center" wrapText="1"/>
      <protection locked="0"/>
    </xf>
    <xf numFmtId="0" fontId="6" fillId="2" borderId="0" xfId="40" applyFont="1" applyFill="1" applyAlignment="1" applyProtection="1">
      <alignment vertical="center"/>
      <protection locked="0"/>
    </xf>
    <xf numFmtId="0" fontId="4" fillId="2" borderId="0" xfId="40" applyFont="1" applyFill="1" applyAlignment="1" applyProtection="1">
      <alignment vertical="center"/>
      <protection locked="0"/>
    </xf>
    <xf numFmtId="0" fontId="33" fillId="2" borderId="9" xfId="40" applyFont="1" applyFill="1" applyBorder="1" applyAlignment="1">
      <alignment vertical="top" wrapText="1"/>
    </xf>
    <xf numFmtId="0" fontId="2" fillId="4" borderId="9" xfId="40" applyFont="1" applyFill="1" applyBorder="1" applyAlignment="1">
      <alignment horizontal="center" vertical="top"/>
    </xf>
    <xf numFmtId="0" fontId="2" fillId="4" borderId="9" xfId="40" applyFont="1" applyFill="1" applyBorder="1" applyAlignment="1">
      <alignment vertical="top" wrapText="1"/>
    </xf>
    <xf numFmtId="0" fontId="2" fillId="2" borderId="9" xfId="40" applyFont="1" applyFill="1" applyBorder="1" applyAlignment="1" applyProtection="1">
      <alignment horizontal="center" vertical="top" wrapText="1"/>
      <protection locked="0"/>
    </xf>
    <xf numFmtId="0" fontId="2" fillId="2" borderId="10" xfId="40" applyFont="1" applyFill="1" applyBorder="1" applyAlignment="1" applyProtection="1">
      <alignment horizontal="center" vertical="top" wrapText="1"/>
      <protection locked="0"/>
    </xf>
    <xf numFmtId="0" fontId="5" fillId="14" borderId="9" xfId="40" applyFont="1" applyFill="1" applyBorder="1" applyAlignment="1">
      <alignment horizontal="center" vertical="top" wrapText="1"/>
    </xf>
    <xf numFmtId="3" fontId="5" fillId="14" borderId="9" xfId="40" applyNumberFormat="1" applyFont="1" applyFill="1" applyBorder="1" applyAlignment="1">
      <alignment horizontal="center" vertical="top" wrapText="1"/>
    </xf>
    <xf numFmtId="3" fontId="5" fillId="17" borderId="9" xfId="40" applyNumberFormat="1" applyFont="1" applyFill="1" applyBorder="1" applyAlignment="1">
      <alignment horizontal="center" vertical="top" wrapText="1"/>
    </xf>
    <xf numFmtId="3" fontId="5" fillId="6" borderId="13" xfId="40" applyNumberFormat="1" applyFont="1" applyFill="1" applyBorder="1" applyAlignment="1" applyProtection="1">
      <alignment horizontal="center" vertical="top" wrapText="1"/>
      <protection locked="0"/>
    </xf>
    <xf numFmtId="3" fontId="5" fillId="6" borderId="9" xfId="40" applyNumberFormat="1" applyFont="1" applyFill="1" applyBorder="1" applyAlignment="1" applyProtection="1">
      <alignment horizontal="center" vertical="top" wrapText="1"/>
      <protection locked="0"/>
    </xf>
    <xf numFmtId="3" fontId="5" fillId="8" borderId="9" xfId="40" applyNumberFormat="1" applyFont="1" applyFill="1" applyBorder="1" applyAlignment="1" applyProtection="1">
      <alignment horizontal="center" vertical="top" wrapText="1"/>
      <protection locked="0"/>
    </xf>
    <xf numFmtId="3" fontId="5" fillId="7" borderId="9" xfId="40" applyNumberFormat="1" applyFont="1" applyFill="1" applyBorder="1" applyAlignment="1" applyProtection="1">
      <alignment horizontal="center" vertical="top" wrapText="1"/>
      <protection locked="0"/>
    </xf>
    <xf numFmtId="3" fontId="5" fillId="9" borderId="9" xfId="40" applyNumberFormat="1" applyFont="1" applyFill="1" applyBorder="1" applyAlignment="1" applyProtection="1">
      <alignment horizontal="center" vertical="top" wrapText="1"/>
      <protection locked="0"/>
    </xf>
    <xf numFmtId="0" fontId="5" fillId="2" borderId="0" xfId="40" applyFont="1" applyFill="1" applyAlignment="1" applyProtection="1">
      <alignment vertical="top"/>
      <protection locked="0"/>
    </xf>
    <xf numFmtId="0" fontId="34" fillId="0" borderId="0" xfId="42"/>
    <xf numFmtId="0" fontId="2" fillId="4" borderId="9" xfId="40" applyFont="1" applyFill="1" applyBorder="1" applyAlignment="1">
      <alignment horizontal="center" vertical="center"/>
    </xf>
    <xf numFmtId="0" fontId="2" fillId="2" borderId="9" xfId="40" applyFont="1" applyFill="1" applyBorder="1" applyAlignment="1" applyProtection="1">
      <alignment horizontal="center" vertical="center" wrapText="1"/>
      <protection locked="0"/>
    </xf>
    <xf numFmtId="0" fontId="2" fillId="2" borderId="10" xfId="40" applyFont="1" applyFill="1" applyBorder="1" applyAlignment="1" applyProtection="1">
      <alignment horizontal="center" vertical="center" wrapText="1"/>
      <protection locked="0"/>
    </xf>
    <xf numFmtId="0" fontId="5" fillId="14" borderId="9" xfId="40" applyFont="1" applyFill="1" applyBorder="1" applyAlignment="1">
      <alignment horizontal="center" vertical="center" wrapText="1"/>
    </xf>
    <xf numFmtId="3" fontId="5" fillId="14" borderId="9" xfId="40" applyNumberFormat="1" applyFont="1" applyFill="1" applyBorder="1" applyAlignment="1">
      <alignment horizontal="center" vertical="center" wrapText="1"/>
    </xf>
    <xf numFmtId="3" fontId="5" fillId="17" borderId="9" xfId="40" applyNumberFormat="1" applyFont="1" applyFill="1" applyBorder="1" applyAlignment="1">
      <alignment horizontal="center" vertical="center" wrapText="1"/>
    </xf>
    <xf numFmtId="3" fontId="5" fillId="6" borderId="13" xfId="40" applyNumberFormat="1" applyFont="1" applyFill="1" applyBorder="1" applyAlignment="1" applyProtection="1">
      <alignment horizontal="center" vertical="center" wrapText="1"/>
      <protection locked="0"/>
    </xf>
    <xf numFmtId="3" fontId="5" fillId="6" borderId="9" xfId="40" applyNumberFormat="1" applyFont="1" applyFill="1" applyBorder="1" applyAlignment="1" applyProtection="1">
      <alignment horizontal="center" vertical="center" wrapText="1"/>
      <protection locked="0"/>
    </xf>
    <xf numFmtId="3" fontId="5" fillId="8" borderId="9" xfId="40" applyNumberFormat="1" applyFont="1" applyFill="1" applyBorder="1" applyAlignment="1" applyProtection="1">
      <alignment horizontal="center" vertical="center" wrapText="1"/>
      <protection locked="0"/>
    </xf>
    <xf numFmtId="3" fontId="5" fillId="6" borderId="9" xfId="41" applyNumberFormat="1" applyFont="1" applyFill="1" applyBorder="1" applyAlignment="1" applyProtection="1">
      <alignment horizontal="center" vertical="center" wrapText="1"/>
      <protection locked="0"/>
    </xf>
    <xf numFmtId="3" fontId="5" fillId="7" borderId="9" xfId="40" applyNumberFormat="1" applyFont="1" applyFill="1" applyBorder="1" applyAlignment="1" applyProtection="1">
      <alignment horizontal="center" vertical="center" wrapText="1"/>
      <protection locked="0"/>
    </xf>
    <xf numFmtId="3" fontId="5" fillId="9" borderId="9" xfId="40" applyNumberFormat="1" applyFont="1" applyFill="1" applyBorder="1" applyAlignment="1" applyProtection="1">
      <alignment horizontal="center" vertical="center" wrapText="1"/>
      <protection locked="0"/>
    </xf>
    <xf numFmtId="3" fontId="5" fillId="7" borderId="9" xfId="41" applyNumberFormat="1" applyFont="1" applyFill="1" applyBorder="1" applyAlignment="1" applyProtection="1">
      <alignment horizontal="center" vertical="center" wrapText="1"/>
      <protection locked="0"/>
    </xf>
    <xf numFmtId="0" fontId="5" fillId="2" borderId="9" xfId="40" applyFont="1" applyFill="1" applyBorder="1" applyAlignment="1" applyProtection="1">
      <alignment horizontal="center" vertical="center"/>
      <protection locked="0"/>
    </xf>
    <xf numFmtId="3" fontId="2" fillId="2" borderId="9" xfId="41" applyNumberFormat="1" applyFont="1" applyFill="1" applyBorder="1" applyAlignment="1" applyProtection="1">
      <alignment horizontal="center" vertical="center" wrapText="1"/>
      <protection locked="0"/>
    </xf>
    <xf numFmtId="0" fontId="34" fillId="0" borderId="0" xfId="42" applyAlignment="1">
      <alignment vertical="center"/>
    </xf>
    <xf numFmtId="0" fontId="3" fillId="4" borderId="9" xfId="40" applyFont="1" applyFill="1" applyBorder="1" applyAlignment="1">
      <alignment vertical="top" wrapText="1"/>
    </xf>
    <xf numFmtId="0" fontId="2" fillId="4" borderId="9" xfId="40" applyFont="1" applyFill="1" applyBorder="1" applyAlignment="1">
      <alignment vertical="center" wrapText="1"/>
    </xf>
    <xf numFmtId="3" fontId="7" fillId="4" borderId="9" xfId="40" applyNumberFormat="1" applyFont="1" applyFill="1" applyBorder="1" applyAlignment="1" applyProtection="1">
      <alignment horizontal="center" vertical="center"/>
      <protection locked="0"/>
    </xf>
    <xf numFmtId="3" fontId="7" fillId="4" borderId="9" xfId="41" applyNumberFormat="1" applyFont="1" applyFill="1" applyBorder="1" applyAlignment="1" applyProtection="1">
      <alignment horizontal="right" vertical="center"/>
      <protection locked="0"/>
    </xf>
    <xf numFmtId="3" fontId="7" fillId="8" borderId="14" xfId="2" applyNumberFormat="1" applyFont="1" applyFill="1" applyBorder="1" applyAlignment="1" applyProtection="1">
      <alignment vertical="center"/>
      <protection locked="0"/>
    </xf>
    <xf numFmtId="3" fontId="7" fillId="9" borderId="14" xfId="2" applyNumberFormat="1" applyFont="1" applyFill="1" applyBorder="1" applyAlignment="1" applyProtection="1">
      <alignment vertical="center"/>
      <protection locked="0"/>
    </xf>
    <xf numFmtId="0" fontId="5" fillId="0" borderId="0" xfId="42" applyFont="1"/>
    <xf numFmtId="166" fontId="15" fillId="0" borderId="0" xfId="29" applyFont="1" applyAlignment="1">
      <alignment vertical="top"/>
    </xf>
    <xf numFmtId="164" fontId="9" fillId="0" borderId="0" xfId="1" applyFont="1" applyAlignment="1">
      <alignment vertical="top"/>
    </xf>
    <xf numFmtId="164" fontId="10" fillId="0" borderId="0" xfId="1" applyFont="1" applyAlignment="1">
      <alignment vertical="top"/>
    </xf>
    <xf numFmtId="164" fontId="15" fillId="0" borderId="0" xfId="1" applyFont="1" applyAlignment="1">
      <alignment vertical="top"/>
    </xf>
    <xf numFmtId="164" fontId="10" fillId="12" borderId="0" xfId="1" applyFont="1" applyFill="1" applyAlignment="1">
      <alignment vertical="top"/>
    </xf>
    <xf numFmtId="164" fontId="11" fillId="12" borderId="0" xfId="1" applyFont="1" applyFill="1" applyAlignment="1">
      <alignment vertical="top"/>
    </xf>
    <xf numFmtId="166" fontId="10" fillId="12" borderId="0" xfId="29" applyFont="1" applyFill="1" applyAlignment="1">
      <alignment vertical="top"/>
    </xf>
    <xf numFmtId="166" fontId="11" fillId="0" borderId="0" xfId="29" applyAlignment="1">
      <alignment vertical="top"/>
    </xf>
    <xf numFmtId="49" fontId="11" fillId="0" borderId="0" xfId="29" applyNumberFormat="1" applyAlignment="1">
      <alignment vertical="top"/>
    </xf>
    <xf numFmtId="0" fontId="9" fillId="10" borderId="0" xfId="0" applyFont="1" applyFill="1" applyAlignment="1">
      <alignment horizontal="left" vertical="center" wrapText="1"/>
    </xf>
    <xf numFmtId="164" fontId="9" fillId="0" borderId="0" xfId="1" applyFont="1" applyAlignment="1">
      <alignment vertical="center"/>
    </xf>
    <xf numFmtId="166" fontId="9" fillId="0" borderId="0" xfId="29" applyFont="1" applyAlignment="1">
      <alignment vertical="center"/>
    </xf>
    <xf numFmtId="166" fontId="36" fillId="0" borderId="0" xfId="29" applyFont="1" applyAlignment="1">
      <alignment vertical="top"/>
    </xf>
    <xf numFmtId="3" fontId="11" fillId="0" borderId="3" xfId="29" applyNumberFormat="1" applyBorder="1" applyAlignment="1">
      <alignment vertical="top"/>
    </xf>
    <xf numFmtId="3" fontId="11" fillId="10" borderId="3" xfId="0" applyNumberFormat="1" applyFont="1" applyFill="1" applyBorder="1" applyAlignment="1">
      <alignment vertical="top" wrapText="1"/>
    </xf>
    <xf numFmtId="3" fontId="11" fillId="10" borderId="3" xfId="0" applyNumberFormat="1" applyFont="1" applyFill="1" applyBorder="1" applyAlignment="1">
      <alignment horizontal="left" vertical="top" wrapText="1"/>
    </xf>
    <xf numFmtId="3" fontId="10" fillId="10" borderId="3" xfId="0" applyNumberFormat="1" applyFont="1" applyFill="1" applyBorder="1" applyAlignment="1">
      <alignment vertical="top" wrapText="1"/>
    </xf>
    <xf numFmtId="3" fontId="12" fillId="10" borderId="3" xfId="0" applyNumberFormat="1" applyFont="1" applyFill="1" applyBorder="1" applyAlignment="1">
      <alignment horizontal="left" vertical="top" wrapText="1"/>
    </xf>
    <xf numFmtId="3" fontId="14" fillId="14" borderId="3" xfId="0" applyNumberFormat="1" applyFont="1" applyFill="1" applyBorder="1" applyAlignment="1">
      <alignment horizontal="center" vertical="top" wrapText="1"/>
    </xf>
    <xf numFmtId="3" fontId="14" fillId="17" borderId="3" xfId="0" applyNumberFormat="1" applyFont="1" applyFill="1" applyBorder="1" applyAlignment="1">
      <alignment horizontal="center" vertical="top" wrapText="1"/>
    </xf>
    <xf numFmtId="3" fontId="14" fillId="20" borderId="3" xfId="0" applyNumberFormat="1" applyFont="1" applyFill="1" applyBorder="1" applyAlignment="1">
      <alignment horizontal="center" vertical="top" wrapText="1"/>
    </xf>
    <xf numFmtId="3" fontId="11" fillId="10" borderId="15" xfId="0" applyNumberFormat="1" applyFont="1" applyFill="1" applyBorder="1" applyAlignment="1">
      <alignment horizontal="center" vertical="top" wrapText="1"/>
    </xf>
    <xf numFmtId="3" fontId="11" fillId="10" borderId="16" xfId="0" applyNumberFormat="1" applyFont="1" applyFill="1" applyBorder="1" applyAlignment="1">
      <alignment horizontal="center" vertical="top" wrapText="1"/>
    </xf>
    <xf numFmtId="164" fontId="9" fillId="0" borderId="28" xfId="1" applyFont="1" applyBorder="1" applyAlignment="1">
      <alignment vertical="top"/>
    </xf>
    <xf numFmtId="3" fontId="11" fillId="0" borderId="26" xfId="29" applyNumberFormat="1" applyBorder="1" applyAlignment="1">
      <alignment vertical="top"/>
    </xf>
    <xf numFmtId="164" fontId="11" fillId="0" borderId="27" xfId="1" applyFont="1" applyBorder="1" applyAlignment="1">
      <alignment vertical="top"/>
    </xf>
    <xf numFmtId="3" fontId="11" fillId="10" borderId="26" xfId="0" applyNumberFormat="1" applyFont="1" applyFill="1" applyBorder="1" applyAlignment="1">
      <alignment horizontal="left" vertical="top" wrapText="1"/>
    </xf>
    <xf numFmtId="3" fontId="12" fillId="10" borderId="26" xfId="0" applyNumberFormat="1" applyFont="1" applyFill="1" applyBorder="1" applyAlignment="1">
      <alignment horizontal="left" vertical="top" wrapText="1"/>
    </xf>
    <xf numFmtId="164" fontId="9" fillId="0" borderId="27" xfId="1" applyFont="1" applyBorder="1" applyAlignment="1">
      <alignment vertical="top"/>
    </xf>
    <xf numFmtId="0" fontId="15" fillId="15" borderId="26" xfId="0" applyFont="1" applyFill="1" applyBorder="1" applyAlignment="1">
      <alignment horizontal="center" vertical="center" wrapText="1"/>
    </xf>
    <xf numFmtId="3" fontId="14" fillId="7" borderId="26" xfId="0" applyNumberFormat="1" applyFont="1" applyFill="1" applyBorder="1" applyAlignment="1">
      <alignment horizontal="center" vertical="top" wrapText="1"/>
    </xf>
    <xf numFmtId="3" fontId="14" fillId="6" borderId="27" xfId="0" applyNumberFormat="1" applyFont="1" applyFill="1" applyBorder="1" applyAlignment="1">
      <alignment horizontal="center" vertical="top" wrapText="1"/>
    </xf>
    <xf numFmtId="0" fontId="38" fillId="21" borderId="0" xfId="0" applyFont="1" applyFill="1" applyAlignment="1">
      <alignment horizontal="center" vertical="center" wrapText="1"/>
    </xf>
    <xf numFmtId="0" fontId="40" fillId="5" borderId="3" xfId="0" applyFont="1" applyFill="1" applyBorder="1" applyAlignment="1">
      <alignment vertical="center"/>
    </xf>
    <xf numFmtId="0" fontId="41" fillId="22" borderId="3" xfId="0" applyFont="1" applyFill="1" applyBorder="1" applyAlignment="1">
      <alignment horizontal="left" wrapText="1"/>
    </xf>
    <xf numFmtId="0" fontId="0" fillId="0" borderId="0" xfId="0" applyAlignment="1">
      <alignment vertical="center"/>
    </xf>
    <xf numFmtId="0" fontId="42" fillId="0" borderId="0" xfId="0" applyFont="1" applyAlignment="1">
      <alignment vertical="center"/>
    </xf>
    <xf numFmtId="0" fontId="43" fillId="21" borderId="0" xfId="0" applyFont="1" applyFill="1" applyAlignment="1">
      <alignment horizontal="center" vertical="center" wrapText="1"/>
    </xf>
    <xf numFmtId="0" fontId="39" fillId="0" borderId="0" xfId="0" applyFont="1"/>
    <xf numFmtId="0" fontId="39" fillId="0" borderId="32" xfId="0" applyFont="1" applyBorder="1"/>
    <xf numFmtId="0" fontId="39" fillId="0" borderId="33" xfId="0" applyFont="1" applyBorder="1"/>
    <xf numFmtId="0" fontId="39" fillId="0" borderId="34" xfId="0" applyFont="1" applyBorder="1"/>
    <xf numFmtId="4" fontId="44" fillId="5" borderId="37" xfId="0" applyNumberFormat="1" applyFont="1" applyFill="1" applyBorder="1" applyAlignment="1">
      <alignment horizontal="right"/>
    </xf>
    <xf numFmtId="0" fontId="39" fillId="0" borderId="35" xfId="0" applyFont="1" applyBorder="1" applyAlignment="1">
      <alignment wrapText="1"/>
    </xf>
    <xf numFmtId="0" fontId="39" fillId="23" borderId="36" xfId="0" applyFont="1" applyFill="1" applyBorder="1" applyAlignment="1">
      <alignment wrapText="1"/>
    </xf>
    <xf numFmtId="0" fontId="39" fillId="0" borderId="36" xfId="0" applyFont="1" applyBorder="1" applyAlignment="1">
      <alignment wrapText="1"/>
    </xf>
    <xf numFmtId="0" fontId="44" fillId="5" borderId="37" xfId="0" applyFont="1" applyFill="1" applyBorder="1" applyAlignment="1">
      <alignment wrapText="1"/>
    </xf>
    <xf numFmtId="0" fontId="45" fillId="24" borderId="0" xfId="0" applyFont="1" applyFill="1"/>
    <xf numFmtId="0" fontId="45" fillId="24" borderId="33" xfId="0" applyFont="1" applyFill="1" applyBorder="1"/>
    <xf numFmtId="0" fontId="46" fillId="5" borderId="18" xfId="0" applyFont="1" applyFill="1" applyBorder="1"/>
    <xf numFmtId="0" fontId="39" fillId="0" borderId="32" xfId="0" applyFont="1" applyBorder="1" applyAlignment="1">
      <alignment wrapText="1"/>
    </xf>
    <xf numFmtId="0" fontId="39" fillId="0" borderId="33" xfId="0" applyFont="1" applyBorder="1" applyAlignment="1">
      <alignment wrapText="1"/>
    </xf>
    <xf numFmtId="0" fontId="39" fillId="0" borderId="34" xfId="0" applyFont="1" applyBorder="1" applyAlignment="1">
      <alignment wrapText="1"/>
    </xf>
    <xf numFmtId="0" fontId="39" fillId="0" borderId="0" xfId="0" applyFont="1" applyAlignment="1">
      <alignment wrapText="1"/>
    </xf>
    <xf numFmtId="0" fontId="46" fillId="5" borderId="18" xfId="0" applyFont="1" applyFill="1" applyBorder="1" applyAlignment="1">
      <alignment wrapText="1"/>
    </xf>
    <xf numFmtId="3" fontId="11" fillId="0" borderId="0" xfId="29" applyNumberFormat="1" applyAlignment="1">
      <alignment vertical="top"/>
    </xf>
    <xf numFmtId="164" fontId="11" fillId="0" borderId="0" xfId="1" applyFont="1" applyBorder="1" applyAlignment="1">
      <alignment vertical="top"/>
    </xf>
    <xf numFmtId="0" fontId="43" fillId="25" borderId="0" xfId="0" applyFont="1" applyFill="1" applyAlignment="1">
      <alignment horizontal="center"/>
    </xf>
    <xf numFmtId="0" fontId="0" fillId="0" borderId="0" xfId="0" applyAlignment="1">
      <alignment wrapText="1"/>
    </xf>
    <xf numFmtId="0" fontId="0" fillId="0" borderId="31" xfId="0" applyBorder="1" applyAlignment="1">
      <alignment wrapText="1"/>
    </xf>
    <xf numFmtId="0" fontId="0" fillId="0" borderId="0" xfId="0" applyAlignment="1">
      <alignment horizontal="right" vertical="center"/>
    </xf>
    <xf numFmtId="0" fontId="37" fillId="0" borderId="38" xfId="0" applyFont="1" applyBorder="1"/>
    <xf numFmtId="0" fontId="37" fillId="0" borderId="39" xfId="0" applyFont="1" applyBorder="1"/>
    <xf numFmtId="0" fontId="37" fillId="0" borderId="40" xfId="0" applyFont="1" applyBorder="1"/>
    <xf numFmtId="0" fontId="1" fillId="0" borderId="11" xfId="0" applyFont="1" applyBorder="1"/>
    <xf numFmtId="0" fontId="1" fillId="0" borderId="3" xfId="0" applyFont="1" applyBorder="1"/>
    <xf numFmtId="0" fontId="37" fillId="26" borderId="0" xfId="0" applyFont="1" applyFill="1" applyAlignment="1">
      <alignment vertical="center"/>
    </xf>
    <xf numFmtId="0" fontId="48" fillId="27" borderId="31" xfId="0" applyFont="1" applyFill="1" applyBorder="1"/>
    <xf numFmtId="0" fontId="0" fillId="0" borderId="7" xfId="0" applyBorder="1"/>
    <xf numFmtId="0" fontId="48" fillId="0" borderId="7" xfId="0" applyFont="1" applyBorder="1"/>
    <xf numFmtId="0" fontId="0" fillId="0" borderId="0" xfId="0" applyAlignment="1">
      <alignment horizontal="right"/>
    </xf>
    <xf numFmtId="0" fontId="49" fillId="27" borderId="31" xfId="0" applyFont="1" applyFill="1" applyBorder="1"/>
    <xf numFmtId="4" fontId="1" fillId="26" borderId="0" xfId="0" applyNumberFormat="1" applyFont="1" applyFill="1" applyAlignment="1">
      <alignment horizontal="right" vertical="center"/>
    </xf>
    <xf numFmtId="171" fontId="41" fillId="22" borderId="3" xfId="0" applyNumberFormat="1" applyFont="1" applyFill="1" applyBorder="1" applyAlignment="1">
      <alignment horizontal="right"/>
    </xf>
    <xf numFmtId="171" fontId="40" fillId="5" borderId="3" xfId="0" applyNumberFormat="1" applyFont="1" applyFill="1" applyBorder="1" applyAlignment="1">
      <alignment horizontal="right" vertical="center"/>
    </xf>
    <xf numFmtId="171" fontId="39" fillId="0" borderId="29" xfId="0" applyNumberFormat="1" applyFont="1" applyBorder="1" applyAlignment="1">
      <alignment horizontal="right"/>
    </xf>
    <xf numFmtId="171" fontId="39" fillId="23" borderId="30" xfId="0" applyNumberFormat="1" applyFont="1" applyFill="1" applyBorder="1" applyAlignment="1">
      <alignment horizontal="right"/>
    </xf>
    <xf numFmtId="171" fontId="39" fillId="0" borderId="30" xfId="0" applyNumberFormat="1" applyFont="1" applyBorder="1" applyAlignment="1">
      <alignment horizontal="right"/>
    </xf>
    <xf numFmtId="171" fontId="39" fillId="0" borderId="32" xfId="0" applyNumberFormat="1" applyFont="1" applyBorder="1" applyAlignment="1">
      <alignment horizontal="right"/>
    </xf>
    <xf numFmtId="171" fontId="39" fillId="0" borderId="33" xfId="0" applyNumberFormat="1" applyFont="1" applyBorder="1"/>
    <xf numFmtId="171" fontId="39" fillId="0" borderId="33" xfId="0" applyNumberFormat="1" applyFont="1" applyBorder="1" applyAlignment="1">
      <alignment horizontal="right"/>
    </xf>
    <xf numFmtId="171" fontId="39" fillId="0" borderId="34" xfId="0" applyNumberFormat="1" applyFont="1" applyBorder="1" applyAlignment="1">
      <alignment horizontal="right"/>
    </xf>
    <xf numFmtId="171" fontId="39" fillId="0" borderId="0" xfId="0" applyNumberFormat="1" applyFont="1"/>
    <xf numFmtId="171" fontId="46" fillId="5" borderId="18" xfId="0" applyNumberFormat="1" applyFont="1" applyFill="1" applyBorder="1"/>
    <xf numFmtId="171" fontId="1" fillId="0" borderId="11" xfId="0" applyNumberFormat="1" applyFont="1" applyBorder="1"/>
    <xf numFmtId="171" fontId="1" fillId="0" borderId="3" xfId="0" applyNumberFormat="1" applyFont="1" applyBorder="1"/>
    <xf numFmtId="171" fontId="0" fillId="0" borderId="7" xfId="0" applyNumberFormat="1" applyBorder="1" applyAlignment="1">
      <alignment horizontal="right"/>
    </xf>
    <xf numFmtId="171" fontId="49" fillId="0" borderId="7" xfId="0" applyNumberFormat="1" applyFont="1" applyBorder="1" applyAlignment="1">
      <alignment horizontal="right"/>
    </xf>
    <xf numFmtId="172" fontId="1" fillId="0" borderId="11" xfId="0" applyNumberFormat="1" applyFont="1" applyBorder="1"/>
    <xf numFmtId="0" fontId="51" fillId="0" borderId="3" xfId="0" applyFont="1" applyBorder="1" applyAlignment="1">
      <alignment vertical="center"/>
    </xf>
    <xf numFmtId="0" fontId="0" fillId="0" borderId="0" xfId="0" applyAlignment="1">
      <alignment horizontal="center" vertical="center"/>
    </xf>
    <xf numFmtId="0" fontId="51" fillId="0" borderId="3" xfId="0" applyFont="1" applyBorder="1" applyAlignment="1">
      <alignment vertical="center" wrapText="1"/>
    </xf>
    <xf numFmtId="0" fontId="50" fillId="0" borderId="3" xfId="0" applyFont="1" applyBorder="1" applyAlignment="1">
      <alignment horizontal="center" vertical="center"/>
    </xf>
    <xf numFmtId="0" fontId="48" fillId="0" borderId="0" xfId="0" applyFont="1" applyAlignment="1">
      <alignment horizontal="center" vertical="center" wrapText="1"/>
    </xf>
    <xf numFmtId="0" fontId="48" fillId="0" borderId="0" xfId="0" applyFont="1" applyAlignment="1">
      <alignment horizontal="center" vertical="center"/>
    </xf>
    <xf numFmtId="0" fontId="48" fillId="0" borderId="11" xfId="0" applyFont="1" applyBorder="1" applyAlignment="1">
      <alignment horizontal="center" vertical="top" wrapText="1"/>
    </xf>
    <xf numFmtId="0" fontId="48" fillId="0" borderId="11" xfId="0" applyFont="1" applyBorder="1" applyAlignment="1">
      <alignment horizontal="center" vertical="top"/>
    </xf>
    <xf numFmtId="0" fontId="52" fillId="28" borderId="0" xfId="0" applyFont="1" applyFill="1" applyAlignment="1">
      <alignment horizontal="center" vertical="center"/>
    </xf>
    <xf numFmtId="0" fontId="34" fillId="0" borderId="41" xfId="0" applyFont="1" applyBorder="1" applyAlignment="1">
      <alignment horizontal="center" vertical="center"/>
    </xf>
    <xf numFmtId="0" fontId="0" fillId="0" borderId="42" xfId="0" applyBorder="1" applyAlignment="1">
      <alignment horizontal="center" vertical="center"/>
    </xf>
    <xf numFmtId="0" fontId="34" fillId="0" borderId="38" xfId="0" applyFont="1" applyBorder="1" applyAlignment="1">
      <alignment horizontal="center" vertical="center"/>
    </xf>
    <xf numFmtId="0" fontId="34" fillId="0" borderId="40" xfId="0" applyFont="1" applyBorder="1" applyAlignment="1">
      <alignment horizontal="center" vertical="center"/>
    </xf>
    <xf numFmtId="0" fontId="48" fillId="0" borderId="12" xfId="0" applyFont="1" applyBorder="1" applyAlignment="1">
      <alignment horizontal="center" vertical="top"/>
    </xf>
    <xf numFmtId="0" fontId="34" fillId="0" borderId="3" xfId="0" applyFont="1" applyBorder="1" applyAlignment="1">
      <alignment horizontal="center" vertical="center"/>
    </xf>
    <xf numFmtId="0" fontId="25" fillId="11" borderId="0" xfId="8" applyFont="1" applyFill="1" applyAlignment="1">
      <alignment horizontal="left" vertical="top" wrapText="1"/>
    </xf>
    <xf numFmtId="0" fontId="20" fillId="11" borderId="0" xfId="8" applyFont="1" applyFill="1" applyAlignment="1">
      <alignment horizontal="left" vertical="top" wrapText="1"/>
    </xf>
    <xf numFmtId="0" fontId="20" fillId="0" borderId="0" xfId="8" applyFont="1" applyAlignment="1">
      <alignment horizontal="left" vertical="top"/>
    </xf>
    <xf numFmtId="0" fontId="25" fillId="11" borderId="0" xfId="8" applyFont="1" applyFill="1" applyAlignment="1">
      <alignment horizontal="left" vertical="top"/>
    </xf>
    <xf numFmtId="0" fontId="47" fillId="0" borderId="0" xfId="0" applyFont="1" applyAlignment="1">
      <alignment vertical="center"/>
    </xf>
    <xf numFmtId="0" fontId="23" fillId="0" borderId="0" xfId="8" applyFont="1" applyAlignment="1">
      <alignment horizontal="center" vertical="center"/>
    </xf>
    <xf numFmtId="0" fontId="20" fillId="0" borderId="0" xfId="18" applyFont="1" applyAlignment="1" applyProtection="1">
      <alignment horizontal="center" vertical="top" wrapText="1"/>
      <protection hidden="1"/>
    </xf>
    <xf numFmtId="49" fontId="18" fillId="0" borderId="0" xfId="0" applyNumberFormat="1" applyFont="1" applyAlignment="1" applyProtection="1">
      <alignment horizontal="left" vertical="top" wrapText="1"/>
      <protection hidden="1"/>
    </xf>
    <xf numFmtId="49" fontId="18" fillId="0" borderId="21" xfId="0" applyNumberFormat="1" applyFont="1" applyBorder="1" applyAlignment="1" applyProtection="1">
      <alignment horizontal="left" vertical="top" wrapText="1"/>
      <protection hidden="1"/>
    </xf>
    <xf numFmtId="0" fontId="10" fillId="10" borderId="0" xfId="0" applyFont="1" applyFill="1" applyAlignment="1">
      <alignment horizontal="left" vertical="top" wrapText="1"/>
    </xf>
    <xf numFmtId="0" fontId="11" fillId="10" borderId="0" xfId="0" applyFont="1" applyFill="1" applyAlignment="1">
      <alignment horizontal="left" vertical="top" wrapText="1"/>
    </xf>
    <xf numFmtId="0" fontId="45" fillId="24" borderId="4" xfId="0" applyFont="1" applyFill="1" applyBorder="1" applyAlignment="1">
      <alignment wrapText="1"/>
    </xf>
    <xf numFmtId="0" fontId="45" fillId="24" borderId="33" xfId="0" applyFont="1" applyFill="1" applyBorder="1" applyAlignment="1">
      <alignment wrapText="1"/>
    </xf>
    <xf numFmtId="0" fontId="15" fillId="19" borderId="3" xfId="0" applyFont="1" applyFill="1" applyBorder="1" applyAlignment="1">
      <alignment horizontal="center" vertical="center" wrapText="1"/>
    </xf>
    <xf numFmtId="0" fontId="15" fillId="18" borderId="27"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6" borderId="3" xfId="0" applyFont="1" applyFill="1" applyBorder="1" applyAlignment="1">
      <alignment horizontal="center" vertical="center" wrapText="1"/>
    </xf>
    <xf numFmtId="170" fontId="4" fillId="2" borderId="0" xfId="40" applyNumberFormat="1" applyFont="1" applyFill="1" applyAlignment="1" applyProtection="1">
      <alignment horizontal="left" vertical="top" wrapText="1"/>
      <protection locked="0"/>
    </xf>
    <xf numFmtId="0" fontId="3" fillId="3" borderId="1" xfId="40" applyFont="1" applyFill="1" applyBorder="1" applyAlignment="1" applyProtection="1">
      <alignment horizontal="center" vertical="top" wrapText="1"/>
      <protection locked="0"/>
    </xf>
    <xf numFmtId="0" fontId="3" fillId="3" borderId="9" xfId="40" applyFont="1" applyFill="1" applyBorder="1" applyAlignment="1" applyProtection="1">
      <alignment horizontal="center" vertical="top" wrapText="1"/>
      <protection locked="0"/>
    </xf>
    <xf numFmtId="0" fontId="3" fillId="3" borderId="11" xfId="40" applyFont="1" applyFill="1" applyBorder="1" applyAlignment="1" applyProtection="1">
      <alignment horizontal="center" vertical="top" wrapText="1"/>
      <protection locked="0"/>
    </xf>
    <xf numFmtId="0" fontId="3" fillId="3" borderId="2" xfId="40" applyFont="1" applyFill="1" applyBorder="1" applyAlignment="1" applyProtection="1">
      <alignment horizontal="center" vertical="top" wrapText="1"/>
      <protection locked="0"/>
    </xf>
    <xf numFmtId="0" fontId="3" fillId="3" borderId="10" xfId="40" applyFont="1" applyFill="1" applyBorder="1" applyAlignment="1" applyProtection="1">
      <alignment horizontal="center" vertical="top" wrapText="1"/>
      <protection locked="0"/>
    </xf>
    <xf numFmtId="0" fontId="3" fillId="3" borderId="12" xfId="40" applyFont="1" applyFill="1" applyBorder="1" applyAlignment="1" applyProtection="1">
      <alignment horizontal="center" vertical="top" wrapText="1"/>
      <protection locked="0"/>
    </xf>
    <xf numFmtId="3" fontId="3" fillId="3" borderId="3" xfId="40" applyNumberFormat="1" applyFont="1" applyFill="1" applyBorder="1" applyAlignment="1" applyProtection="1">
      <alignment horizontal="center" vertical="top"/>
      <protection locked="0"/>
    </xf>
    <xf numFmtId="3" fontId="3" fillId="3" borderId="7" xfId="40" applyNumberFormat="1" applyFont="1" applyFill="1" applyBorder="1" applyAlignment="1" applyProtection="1">
      <alignment horizontal="center" vertical="top"/>
      <protection locked="0"/>
    </xf>
    <xf numFmtId="3" fontId="3" fillId="3" borderId="8" xfId="40" applyNumberFormat="1" applyFont="1" applyFill="1" applyBorder="1" applyAlignment="1" applyProtection="1">
      <alignment horizontal="center" vertical="top"/>
      <protection locked="0"/>
    </xf>
    <xf numFmtId="3" fontId="3" fillId="3" borderId="2" xfId="41" applyNumberFormat="1" applyFont="1" applyFill="1" applyBorder="1" applyAlignment="1" applyProtection="1">
      <alignment horizontal="center" vertical="top" wrapText="1"/>
      <protection locked="0"/>
    </xf>
    <xf numFmtId="3" fontId="3" fillId="3" borderId="4" xfId="41" applyNumberFormat="1" applyFont="1" applyFill="1" applyBorder="1" applyAlignment="1" applyProtection="1">
      <alignment horizontal="center" vertical="top" wrapText="1"/>
      <protection locked="0"/>
    </xf>
    <xf numFmtId="3" fontId="3" fillId="3" borderId="5" xfId="41" applyNumberFormat="1" applyFont="1" applyFill="1" applyBorder="1" applyAlignment="1" applyProtection="1">
      <alignment horizontal="center" vertical="top" wrapText="1"/>
      <protection locked="0"/>
    </xf>
    <xf numFmtId="3" fontId="7" fillId="3" borderId="6" xfId="40" applyNumberFormat="1" applyFont="1" applyFill="1" applyBorder="1" applyAlignment="1" applyProtection="1">
      <alignment horizontal="center" vertical="top" wrapText="1"/>
      <protection locked="0"/>
    </xf>
    <xf numFmtId="3" fontId="7" fillId="3" borderId="7" xfId="40" applyNumberFormat="1" applyFont="1" applyFill="1" applyBorder="1" applyAlignment="1" applyProtection="1">
      <alignment horizontal="center" vertical="top" wrapText="1"/>
      <protection locked="0"/>
    </xf>
    <xf numFmtId="3" fontId="7" fillId="3" borderId="8" xfId="40" applyNumberFormat="1" applyFont="1" applyFill="1" applyBorder="1" applyAlignment="1" applyProtection="1">
      <alignment horizontal="center" vertical="top" wrapText="1"/>
      <protection locked="0"/>
    </xf>
    <xf numFmtId="0" fontId="7" fillId="3" borderId="1" xfId="40" applyFont="1" applyFill="1" applyBorder="1" applyAlignment="1" applyProtection="1">
      <alignment horizontal="center" vertical="top" wrapText="1"/>
      <protection locked="0"/>
    </xf>
    <xf numFmtId="0" fontId="7" fillId="3" borderId="9" xfId="40" applyFont="1" applyFill="1" applyBorder="1" applyAlignment="1" applyProtection="1">
      <alignment horizontal="center" vertical="top" wrapText="1"/>
      <protection locked="0"/>
    </xf>
    <xf numFmtId="0" fontId="7" fillId="3" borderId="11" xfId="40" applyFont="1" applyFill="1" applyBorder="1" applyAlignment="1" applyProtection="1">
      <alignment horizontal="center" vertical="top" wrapText="1"/>
      <protection locked="0"/>
    </xf>
    <xf numFmtId="3" fontId="3" fillId="14" borderId="3" xfId="40" applyNumberFormat="1" applyFont="1" applyFill="1" applyBorder="1" applyAlignment="1" applyProtection="1">
      <alignment horizontal="center" vertical="top"/>
      <protection locked="0"/>
    </xf>
    <xf numFmtId="3" fontId="3" fillId="17" borderId="3" xfId="40" applyNumberFormat="1" applyFont="1" applyFill="1" applyBorder="1" applyAlignment="1" applyProtection="1">
      <alignment horizontal="center" vertical="top"/>
      <protection locked="0"/>
    </xf>
    <xf numFmtId="3" fontId="7" fillId="6" borderId="7" xfId="40" applyNumberFormat="1" applyFont="1" applyFill="1" applyBorder="1" applyAlignment="1" applyProtection="1">
      <alignment horizontal="center" vertical="top"/>
      <protection locked="0"/>
    </xf>
    <xf numFmtId="3" fontId="7" fillId="6" borderId="8" xfId="40" applyNumberFormat="1" applyFont="1" applyFill="1" applyBorder="1" applyAlignment="1" applyProtection="1">
      <alignment horizontal="center" vertical="top"/>
      <protection locked="0"/>
    </xf>
    <xf numFmtId="3" fontId="7" fillId="7" borderId="6" xfId="40" applyNumberFormat="1" applyFont="1" applyFill="1" applyBorder="1" applyAlignment="1" applyProtection="1">
      <alignment horizontal="center" vertical="top"/>
      <protection locked="0"/>
    </xf>
    <xf numFmtId="3" fontId="7" fillId="7" borderId="7" xfId="40" applyNumberFormat="1" applyFont="1" applyFill="1" applyBorder="1" applyAlignment="1" applyProtection="1">
      <alignment horizontal="center" vertical="top"/>
      <protection locked="0"/>
    </xf>
    <xf numFmtId="3" fontId="7" fillId="7" borderId="8" xfId="40" applyNumberFormat="1" applyFont="1" applyFill="1" applyBorder="1" applyAlignment="1" applyProtection="1">
      <alignment horizontal="center" vertical="top"/>
      <protection locked="0"/>
    </xf>
    <xf numFmtId="0" fontId="45" fillId="24" borderId="4" xfId="0" applyFont="1" applyFill="1" applyBorder="1" applyAlignment="1"/>
    <xf numFmtId="171" fontId="45" fillId="24" borderId="33" xfId="0" applyNumberFormat="1" applyFont="1" applyFill="1" applyBorder="1" applyAlignment="1"/>
  </cellXfs>
  <cellStyles count="43">
    <cellStyle name="Comma" xfId="1" builtinId="3"/>
    <cellStyle name="Comma 2" xfId="2" xr:uid="{00000000-0005-0000-0000-000031000000}"/>
    <cellStyle name="Comma 3" xfId="3" xr:uid="{00000000-0005-0000-0000-000032000000}"/>
    <cellStyle name="Comma 3 2" xfId="41" xr:uid="{9E4BE182-5CF1-4D5E-9B90-3FC9E62CBCF2}"/>
    <cellStyle name="NO" xfId="4" xr:uid="{00000000-0005-0000-0000-000033000000}"/>
    <cellStyle name="Normal" xfId="0" builtinId="0"/>
    <cellStyle name="Normal 2" xfId="5" xr:uid="{00000000-0005-0000-0000-000034000000}"/>
    <cellStyle name="Normal 3" xfId="6" xr:uid="{00000000-0005-0000-0000-000035000000}"/>
    <cellStyle name="Normal 4" xfId="7" xr:uid="{00000000-0005-0000-0000-000036000000}"/>
    <cellStyle name="Normal 5" xfId="8" xr:uid="{00000000-0005-0000-0000-000037000000}"/>
    <cellStyle name="Normal 5 2" xfId="9" xr:uid="{00000000-0005-0000-0000-000038000000}"/>
    <cellStyle name="Normal 6" xfId="10" xr:uid="{00000000-0005-0000-0000-000039000000}"/>
    <cellStyle name="Normal 7" xfId="11" xr:uid="{00000000-0005-0000-0000-00003A000000}"/>
    <cellStyle name="Normal 7 2" xfId="40" xr:uid="{67F277B7-010F-4289-B7C7-E18F7A1181DF}"/>
    <cellStyle name="Normal 8" xfId="12" xr:uid="{00000000-0005-0000-0000-00003B000000}"/>
    <cellStyle name="Normal 9" xfId="42" xr:uid="{86B851A7-533E-4821-97BE-EEC4284441F8}"/>
    <cellStyle name="千位分隔 13 2" xfId="37" xr:uid="{00000000-0005-0000-0000-000054000000}"/>
    <cellStyle name="千位分隔 2" xfId="13" xr:uid="{00000000-0005-0000-0000-00003C000000}"/>
    <cellStyle name="千位分隔 2 2 5 3" xfId="14" xr:uid="{00000000-0005-0000-0000-00003D000000}"/>
    <cellStyle name="千位分隔 3" xfId="15" xr:uid="{00000000-0005-0000-0000-00003E000000}"/>
    <cellStyle name="千位分隔 3 2" xfId="35" xr:uid="{00000000-0005-0000-0000-000052000000}"/>
    <cellStyle name="千位分隔 3 2 2" xfId="36" xr:uid="{00000000-0005-0000-0000-000053000000}"/>
    <cellStyle name="千位分隔 3 2 2 2 2" xfId="16" xr:uid="{00000000-0005-0000-0000-00003F000000}"/>
    <cellStyle name="千位分隔 4" xfId="17" xr:uid="{00000000-0005-0000-0000-000040000000}"/>
    <cellStyle name="常规 10" xfId="18" xr:uid="{00000000-0005-0000-0000-000041000000}"/>
    <cellStyle name="常规 11" xfId="39" xr:uid="{00000000-0005-0000-0000-000056000000}"/>
    <cellStyle name="常规 12 5 2 3" xfId="19" xr:uid="{00000000-0005-0000-0000-000042000000}"/>
    <cellStyle name="常规 12 8" xfId="20" xr:uid="{00000000-0005-0000-0000-000043000000}"/>
    <cellStyle name="常规 18 3 2" xfId="21" xr:uid="{00000000-0005-0000-0000-000044000000}"/>
    <cellStyle name="常规 2" xfId="22" xr:uid="{00000000-0005-0000-0000-000045000000}"/>
    <cellStyle name="常规 2 3 2 2" xfId="23" xr:uid="{00000000-0005-0000-0000-000046000000}"/>
    <cellStyle name="常规 3" xfId="24" xr:uid="{00000000-0005-0000-0000-000047000000}"/>
    <cellStyle name="常规 3 2 2" xfId="25" xr:uid="{00000000-0005-0000-0000-000048000000}"/>
    <cellStyle name="常规 3 3" xfId="26" xr:uid="{00000000-0005-0000-0000-000049000000}"/>
    <cellStyle name="常规 4" xfId="27" xr:uid="{00000000-0005-0000-0000-00004A000000}"/>
    <cellStyle name="常规 4 2 7" xfId="33" xr:uid="{00000000-0005-0000-0000-000050000000}"/>
    <cellStyle name="常规 5" xfId="28" xr:uid="{00000000-0005-0000-0000-00004B000000}"/>
    <cellStyle name="常规 6" xfId="29" xr:uid="{00000000-0005-0000-0000-00004C000000}"/>
    <cellStyle name="常规 7" xfId="30" xr:uid="{00000000-0005-0000-0000-00004D000000}"/>
    <cellStyle name="常规 8" xfId="38" xr:uid="{00000000-0005-0000-0000-000055000000}"/>
    <cellStyle name="百分比 2" xfId="31" xr:uid="{00000000-0005-0000-0000-00004E000000}"/>
    <cellStyle name="百分比 2 2" xfId="34" xr:uid="{00000000-0005-0000-0000-000051000000}"/>
    <cellStyle name="百分比 3" xfId="32" xr:uid="{00000000-0005-0000-0000-00004F000000}"/>
  </cellStyles>
  <dxfs count="0"/>
  <tableStyles count="0" defaultTableStyle="TableStyleMedium2" defaultPivotStyle="PivotStyleLight16"/>
  <colors>
    <mruColors>
      <color rgb="FFFFE1FF"/>
      <color rgb="FFFF0000"/>
      <color rgb="FFFFFF00"/>
      <color rgb="FF0000FF"/>
      <color rgb="FFFFFFCC"/>
      <color rgb="FFFC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50" Type="http://schemas.openxmlformats.org/officeDocument/2006/relationships/externalLink" Target="externalLinks/externalLink38.xml"/><Relationship Id="rId55" Type="http://schemas.openxmlformats.org/officeDocument/2006/relationships/styles" Target="styles.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microsoft.com/office/2022/10/relationships/richValueRel" Target="richData/richValueRel.xml"/><Relationship Id="rId66" Type="http://schemas.openxmlformats.org/officeDocument/2006/relationships/customXml" Target="../customXml/item4.xml"/><Relationship Id="rId5" Type="http://schemas.openxmlformats.org/officeDocument/2006/relationships/worksheet" Target="worksheets/sheet5.xml"/><Relationship Id="rId61" Type="http://schemas.microsoft.com/office/2017/06/relationships/rdRichValueTypes" Target="richData/rdRichValueTypes.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sharedStrings" Target="sharedStrings.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microsoft.com/office/2017/06/relationships/rdRichValue" Target="richData/rdrichvalue.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theme" Target="theme/theme1.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sheetMetadata" Target="metadata.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microsoft.com/office/2017/06/relationships/rdRichValueStructure" Target="richData/rdrichvaluestructure.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2354580</xdr:colOff>
      <xdr:row>0</xdr:row>
      <xdr:rowOff>0</xdr:rowOff>
    </xdr:from>
    <xdr:to>
      <xdr:col>5</xdr:col>
      <xdr:colOff>591807</xdr:colOff>
      <xdr:row>5</xdr:row>
      <xdr:rowOff>185980</xdr:rowOff>
    </xdr:to>
    <xdr:pic>
      <xdr:nvPicPr>
        <xdr:cNvPr id="2" name="Picture 2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96280" y="0"/>
          <a:ext cx="2052955" cy="1185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4846320</xdr:colOff>
      <xdr:row>0</xdr:row>
      <xdr:rowOff>45720</xdr:rowOff>
    </xdr:from>
    <xdr:to>
      <xdr:col>1</xdr:col>
      <xdr:colOff>6332220</xdr:colOff>
      <xdr:row>2</xdr:row>
      <xdr:rowOff>95568</xdr:rowOff>
    </xdr:to>
    <xdr:pic>
      <xdr:nvPicPr>
        <xdr:cNvPr id="2" name="Picture 24">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14620" y="45720"/>
          <a:ext cx="1485900" cy="942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6880860</xdr:colOff>
      <xdr:row>0</xdr:row>
      <xdr:rowOff>0</xdr:rowOff>
    </xdr:from>
    <xdr:to>
      <xdr:col>3</xdr:col>
      <xdr:colOff>7719060</xdr:colOff>
      <xdr:row>1</xdr:row>
      <xdr:rowOff>46681</xdr:rowOff>
    </xdr:to>
    <xdr:pic>
      <xdr:nvPicPr>
        <xdr:cNvPr id="2" name="Picture 24">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23760" y="0"/>
          <a:ext cx="83820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51</xdr:col>
      <xdr:colOff>111783</xdr:colOff>
      <xdr:row>0</xdr:row>
      <xdr:rowOff>48227</xdr:rowOff>
    </xdr:from>
    <xdr:to>
      <xdr:col>53</xdr:col>
      <xdr:colOff>423107</xdr:colOff>
      <xdr:row>7</xdr:row>
      <xdr:rowOff>20024</xdr:rowOff>
    </xdr:to>
    <xdr:pic>
      <xdr:nvPicPr>
        <xdr:cNvPr id="2" name="Picture 24">
          <a:extLst>
            <a:ext uri="{FF2B5EF4-FFF2-40B4-BE49-F238E27FC236}">
              <a16:creationId xmlns:a16="http://schemas.microsoft.com/office/drawing/2014/main" id="{CB316C6F-FC9E-48EF-B98A-DB092B899E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7035783" y="48227"/>
          <a:ext cx="1574974" cy="994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45</xdr:col>
      <xdr:colOff>383241</xdr:colOff>
      <xdr:row>0</xdr:row>
      <xdr:rowOff>52294</xdr:rowOff>
    </xdr:from>
    <xdr:to>
      <xdr:col>53</xdr:col>
      <xdr:colOff>440565</xdr:colOff>
      <xdr:row>7</xdr:row>
      <xdr:rowOff>90766</xdr:rowOff>
    </xdr:to>
    <xdr:pic>
      <xdr:nvPicPr>
        <xdr:cNvPr id="2" name="Picture 24">
          <a:extLst>
            <a:ext uri="{FF2B5EF4-FFF2-40B4-BE49-F238E27FC236}">
              <a16:creationId xmlns:a16="http://schemas.microsoft.com/office/drawing/2014/main" id="{9FE043F7-D240-4BFA-9A85-FE52A8EFF8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870888" y="52294"/>
          <a:ext cx="1573853" cy="1084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78;&#28023;&#21326;&#28070;&#27233;&#26641;&#28286;&#39033;&#30446;\2012-06-01&#31934;&#35013;&#20462;&#25307;&#26631;\&#21271;&#21306;&#25307;&#26631;\&#22238;&#26631;&#20998;&#26512;&#31532;&#20108;&#36718;\&#25237;&#26631;&#25991;&#20214;\&#20248;&#39640;&#38597;\&#24037;&#20316;&#31807;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20598;&#30340;&#31169;&#25151;\&#19996;&#26041;\&#24037;&#20316;&#20869;&#23481;\&#19978;&#28023;&#26032;&#27743;&#28286;&#26679;&#26495;&#21306;\&#26032;&#27743;&#28286;&#39033;&#30446;&#26376;&#25253;&#34920;\&#26679;&#26495;&#25151;&#31934;&#35013;&#65288;&#24314;&#31569;&#35013;&#39280;&#24037;&#31243;&#26377;&#38480;&#20844;&#21496;,&#24314;&#31569;&#35013;&#39280;(&#38598;&#22242;)&#26377;&#38480;&#20844;&#21496;,&#36890;&#24030;&#65289;\&#26679;&#26495;&#25151;&#31934;&#35013;&#65288;&#36890;&#24030;&#65289;\2010&#24180;7&#26376;\&#26679;&#26495;&#25151;&#65288;&#36890;&#24030;&#65289;2010&#24180;7&#26376;\&#26032;&#24314;&#25991;&#20214;&#22841;1\&#26032;&#24314;&#25991;&#20214;&#22841;\m\&#21335;&#31481;\&#38376;&#31383;&#38109;&#26495;&#65288;1-12&#65283;&#27004;&#65289;0911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AILY%20REPOR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jf52\&#20849;&#20139;&#25991;&#20214;&#22841;&#21016;&#28165;\&#20849;&#20139;&#25991;&#20214;&#22841;&#21016;&#28165;\20160425&#21069;&#28393;&#20225;&#19994;&#22825;&#22320;&#19977;&#26399;\&#25237;&#26631;&#25991;&#20214;\000&#25237;&#26631;&#28165;&#21333;\20160506&#31532;&#19968;&#36718;&#25237;&#26631;&#25253;&#20215;&#28165;&#21333;\&#23450;&#31295;&#25991;&#20214;\16%20Bill-&#21033;&#28070;\Users\SONY\Desktop\B6&#32452;&#22242;&#22320;&#19979;&#23460;&#22303;&#2604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SalesP\2003\spwk39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microsoftapc-my.sharepoint.com\Documents%20and%20Settings\nbk5qhv\Local%20Settings\Temporary%20Internet%20Files\OLK16C\Documents%20and%20Settings\NBKL2FP\Desktop\LEED%20Char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37197;&#32593;\&#26032;&#24314;20KV&#20197;&#19979;&#32447;&#36335;&#24037;&#31243;&#39044;&#31639;(&#33539;&#264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11&#20892;&#32593;\&#32467;&#31639;&#24037;&#31243;&#36164;&#26009;\&#25913;&#36896;35kV&#21496;&#21069;&#21464;10kV&#20030;&#23433;&#32447;#120-#191\&#40644;&#29618;\2009&#24180;\20kV&#21450;&#20197;&#19979;&#37197;&#30005;&#32593;&#24037;&#31243;&#39044;&#20915;&#31639;20090925\&#26679;\My%20Documents\2004&#24180;&#24230;\06.2004&#24180;&#24230;&#20915;&#31639;\05.&#24050;&#25171;&#21360;\5&#26465;110KV96&#24180;&#28100;&#21338;&#27888;&#20809;&#29983;&#20135;&#30340;&#21512;&#25104;&#32477;&#32536;&#23376;&#26356;&#25442;&#22823;&#20462;&#21450;220&#65355;&#65334;&#27704;&#21015;&#32447;&#36305;&#32447;&#21152;&#38050;&#31649;&#24037;&#3124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31119;&#24314;&#30005;&#21147;&#39033;&#30446;\&#25968;&#25454;&#27169;&#26495;\&#31119;&#24314;&#30005;&#21147;&#25968;&#25454;&#25910;&#38598;&#27169;&#26495;\PM&#27169;&#22359;&#25968;&#25454;&#25910;&#38598;&#27169;&#2649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qpc\&#21512;&#21516;\&#26032;&#24314;&#25991;&#20214;&#22841;\&#23665;&#30036;&#20108;&#26399;EF&#21306;&#65288;8-10&#26635;&#65289;&#9679;&#24037;&#31243;&#37327;&#35745;&#31639;&#31295;&#9679;&#20013;&#24314;&#19977;&#23616;&#19968;&#20844;&#214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jf52\&#20849;&#20139;&#25991;&#20214;&#22841;&#21016;&#28165;\&#20849;&#20139;&#25991;&#20214;&#22841;&#21016;&#28165;\20160425&#21069;&#28393;&#20225;&#19994;&#22825;&#22320;&#19977;&#26399;\&#25237;&#26631;&#25991;&#20214;\000&#25237;&#26631;&#28165;&#21333;\20160506&#31532;&#19968;&#36718;&#25237;&#26631;&#25253;&#20215;&#28165;&#21333;\&#23450;&#31295;&#25991;&#20214;\16%20Bill-&#21033;&#28070;\Documents%20and%20Settings\All%20Users\Documents\&#26368;&#26032;&#26356;&#26032;\&#36164;&#26009;&#25991;&#20214;\excel&#24212;&#29992;&#25991;&#20214;\20043109262527\&#24037;&#31243;&#37327;&#35745;&#31639;040309&#29256;&#264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2009&#24180;\20kV&#21450;&#20197;&#19979;&#37197;&#30005;&#32593;&#24037;&#31243;&#39044;&#20915;&#31639;20090925\&#26679;\My%20Documents\2004&#24180;&#24230;\06.2004&#24180;&#24230;&#20915;&#31639;\05.&#24050;&#25171;&#21360;\5&#26465;110KV96&#24180;&#28100;&#21338;&#27888;&#20809;&#29983;&#20135;&#30340;&#21512;&#25104;&#32477;&#32536;&#23376;&#26356;&#25442;&#22823;&#20462;&#21450;220&#65355;&#65334;&#27704;&#21015;&#32447;&#36305;&#32447;&#21152;&#38050;&#31649;&#24037;&#3124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microsoftapc-my.sharepoint.com\Documents%20and%20Settings\nbkwkt1\Local%20Settings\Temporary%20Internet%20Files\Content.Outlook\YGWOL9TH\EUUK10026%20CONTROL%20Mar%208th%20201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27494;&#27721;\&#24037;&#31243;\&#26080;&#38177;\&#22806;&#24149;&#22681;&#22270;&#32440;\&#26080;&#38177;A&#21306;&#26368;&#21518;&#20462;&#25913;&#22270;&#32440;\&#26080;&#38177;&#28165;&#21333;\&#26395;&#20140;A&#21306;&#25307;&#26631;\&#26395;&#20140;&#20303;&#23429;&#22806;&#39280;&#20998;&#21253;\&#22806;&#39280;&#35780;&#26631;\&#26395;&#20140;4&#65283;&#20303;&#23429;&#22806;&#39280;&#28165;&#21333;06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2006\&#31119;&#23433;--&#26704;&#22478;\2005\&#29976;&#26848;--&#23425;&#24503;&#30005;&#21378;220KV&#32447;&#36335;\&#25253;&#20215;&#20070;&#65288;&#29976;&#26848;--&#22823;&#21776;&#30005;&#21378;&#65289;.xls" TargetMode="External"/></Relationships>
</file>

<file path=xl/externalLinks/_rels/externalLink16.xml.rels><?xml version="1.0" encoding="UTF-8" standalone="yes"?>
<Relationships xmlns="http://schemas.openxmlformats.org/package/2006/relationships"><Relationship Id="rId2" Type="http://schemas.microsoft.com/office/2019/04/relationships/externalLinkLongPath" Target="file:///\\https:\microsoftapc.sharepoint.com\teams\GWSASIAPMServices\Shared%20Documents\General\02%20China\CHN,%20Shanghai%20Campus%20Building%201\08%20Financials\9.1%20Cost%20Reports\Mar%202026\MS%20B115-%20WPA2%20Integration%20Matrix%20%20Schedule%20121911.xlsx?FCC2C748" TargetMode="External"/><Relationship Id="rId1" Type="http://schemas.openxmlformats.org/officeDocument/2006/relationships/externalLinkPath" Target="file:///\\FCC2C748\MS%20B115-%20WPA2%20Integration%20Matrix%20%20Schedule%2012191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65288;1&#65289;&#25307;&#26631;&#37319;&#36141;&#25991;&#20214;\&#65288;8&#65289;&#25307;&#26631;&#37319;&#36141;&#25991;&#20214;\&#38598;&#22242;&#37319;&#36141;\&#20013;&#24800;&#29081;&#20803;&#38450;&#28779;&#65288;&#38450;&#30423;&#65289;&#38376;&#25307;&#26631;&#25991;&#20214;\2011&#24180;07&#26376;&#32511;&#27954;40-45&#65292;62-65&#12289;&#21322;&#23707;&#12289;&#40857;&#29081;&#23665;&#38598;&#20013;&#25307;&#26631;\&#25307;&#26631;&#25991;&#20214;\&#38109;&#21512;&#37329;\&#19996;&#33694;&#23431;&#40857;&#24037;&#19994;&#22522;&#22320;&#26494;&#23665;&#28246;&#39033;&#30446;\&#19996;&#33694;&#23431;&#40857;&#24037;&#19994;&#22522;&#22320;&#26494;&#23665;&#28246;&#39033;&#30446;&#25253;&#202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21464;&#30005;&#31449;\&#28467;&#27954;&#22320;&#21306;\jyh\jyh\&#31119;&#28165;110KV&#21464;&#30005;&#31449;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microsoftapc-my.sharepoint.com\Users\v-fifiel\Desktop\FFH\1.0%20Administration\1.5%20Others\BAML%20stuff\Lessons%20Learnt\JPTK%20NHB%20-%20Lessons%20Learnt%20v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l\&#28145;&#22323;&#28286;&#39033;&#30446;\&#28145;&#22323;&#28286;&#39033;&#30446;&#65288;&#24149;&#22681;&#37096;&#20998;&#34917;&#36951;&#65289;0924\I%20&#26631;&#27573;&#36164;&#26009;&#25991;&#20214;\3.I%20&#26631;&#27573;&#24037;&#31243;&#37327;&#21450;&#21333;&#20215;&#34920;\&#39033;&#30446;&#25991;&#20214;\&#37325;&#38050;&#24037;&#31243;\2008&#24180;&#24037;&#31243;\&#24191;&#24030;&#20122;&#36816;&#22330;&#39302;\&#25237;&#26631;&#25253;&#20215;\&#24037;&#31243;&#37327;&#35745;&#31639;&#31295;&#19982;&#27719;&#24635;&#31295;\2006&#24180;\&#20041;&#20044;&#22269;&#38469;&#21830;&#36152;&#22478;\&#20041;&#20044;&#22269;&#38469;&#21830;&#36152;&#22478;&#25253;&#20986;&#25253;&#20215;\&#38050;&#32467;&#26500;&#19982;&#24635;&#27719;&#24635;\&#26477;&#24030;&#24191;&#25773;&#30005;&#35270;&#20013;&#24515;&#65288;&#19968;&#26399;&#65289;\&#26477;&#24030;&#24191;&#30005;&#20013;&#24515;&#65288;&#19968;&#26399;&#65289;&#24037;&#31243;&#37327;&#28165;&#21333;\&#21103;&#26412;&#177;0.000&#20197;&#19978;&#22303;&#24314;&#24037;&#31243;&#37327;&#28165;&#21333;&#65288;3&#21495;&#28165;&#21333;&#652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Gjf52\&#20849;&#20139;&#25991;&#20214;&#22841;&#21016;&#28165;\&#20849;&#20139;&#25991;&#20214;&#22841;&#21016;&#28165;\20160425&#21069;&#28393;&#20225;&#19994;&#22825;&#22320;&#19977;&#26399;\&#25237;&#26631;&#25991;&#20214;\000&#25237;&#26631;&#28165;&#21333;\20160506&#31532;&#19968;&#36718;&#25237;&#26631;&#25253;&#20215;&#28165;&#21333;\&#23450;&#31295;&#25991;&#20214;\16%20Bill-&#21033;&#28070;\&#21442;&#32771;&#25991;&#26723;\&#27888;&#26469;\&#38738;&#32650;&#20250;&#25152;&#20869;&#35013;\&#24052;&#38134;&#39280;&#24037;&#31243;&#37327;tj12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yssgx\&#20869;&#37096;&#31169;&#23494;\20130312\&#21414;&#38376;&#26223;&#35266;&#22238;&#26631;&#25991;&#20214;&#65288;&#31532;4&#27425;&#65289;\&#21830;&#21153;&#26631;-&#31077;&#31526;\%7f&#19975;&#35814;&#21335;&#21306;&#26223;&#35266;&#24037;&#3124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ttp:\discovery.nbgfn.com\Documents%20and%20Settings\nbk68ah\Local%20Settings\Temporary%20Internet%20Files\OLK2593\WINNT\Temporary%20Internet%20Files\OLK72\IIAM_Draft_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MOUSE\dsw\&#26395;&#36890;&#349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27494;&#27721;\&#24037;&#31243;\&#26080;&#38177;\&#22806;&#24149;&#22681;&#22270;&#32440;\&#26080;&#38177;A&#21306;&#26368;&#21518;&#20462;&#25913;&#22270;&#32440;\&#26080;&#38177;&#28165;&#21333;\2007&#24180;&#24230;&#24037;&#31243;\0802&#20013;&#20896;&#22823;&#21414;\&#26395;&#20140;A&#21306;&#25307;&#26631;\&#26395;&#20140;&#20303;&#23429;&#22806;&#39280;&#20998;&#21253;\&#22806;&#39280;&#35780;&#26631;\&#26395;&#20140;4&#65283;&#20303;&#23429;&#22806;&#39280;&#28165;&#21333;061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G:\&#21150;&#20844;&#25991;&#20214;\&#32463;&#33829;&#31649;&#29702;\&#20869;&#37096;&#31649;&#29702;\&#24352;&#23792;&#30340;&#36164;&#26009;\03\110KV&#28165;&#36828;&#23567;&#24066;T&#25509;&#28165;&#26612;&#12289;&#28165;&#30707;&#32447;&#36335;\WINDOWS\Desktop\&#24191;&#19996;&#24037;&#31243;\&#38451;&#28330;&#32447;&#25237;&#26631;&#21830;&#21153;&#25253;&#20215;(E&#26631;&#2757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J:\&#65288;1&#65289;&#25307;&#26631;&#37319;&#36141;&#25991;&#20214;\&#65288;8&#65289;&#25307;&#26631;&#37319;&#36141;&#25991;&#20214;\&#38598;&#22242;&#37319;&#36141;\&#20013;&#24800;&#29081;&#20803;&#38450;&#28779;&#65288;&#38450;&#30423;&#65289;&#38376;&#25307;&#26631;&#25991;&#20214;\2011&#24180;07&#26376;&#32511;&#27954;40-45&#65292;62-65&#12289;&#21322;&#23707;&#12289;&#40857;&#29081;&#23665;&#38598;&#20013;&#25307;&#26631;\&#25307;&#26631;&#25991;&#20214;\&#38109;&#21512;&#37329;\&#22270;&#32440;\&#19996;&#33694;&#27779;&#23572;&#29595;\&#25253;&#20215;\&#21326;&#24220;&#21830;&#19994;&#20013;&#24515;&#26679;&#2649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jf52\&#20849;&#20139;&#25991;&#20214;&#22841;&#21016;&#28165;\&#25307;&#21830;&#39033;&#30446;\&#38605;&#21326;&#24220;\4,5&#26399;\&#24635;&#21253;\&#26368;&#32456;&#20013;&#26631;&#25253;&#20215;\4,5&#26399;&#28165;&#21333;2013.1.30(&#21830;&#21153;&#26631;&#65289;\http:\portal-szzb\&#25307;&#25237;&#26631;&#31649;&#29702;\&#38738;&#23665;&#28246;&#39033;&#30446;\&#21035;&#22661;&#38109;&#21512;&#37329;\8#&#27004;&#23637;&#31034;&#21306;\&#38738;&#23665;&#28246;8#&#27004;&#23637;&#31034;&#21306;&#38109;&#21512;&#37329;&#21512;&#21516;&#28165;&#21333;&#65288;&#32456;&#31295;&#6528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24050;&#23436;&#24037;&#31243;\&#22823;&#35199;&#12289;&#21271;&#29976;&#32447;&#24320;&#26029;&#36827;&#22612;&#21069;\&#38771;&#20070;&#26635;\&#25237;&#26631;&#24037;&#31243;\2003&#24180;\220&#36816;&#20013;&#32447;&#12289;&#23703;&#23899;&#21464;\&#36816;&#20013;&#32447;&#23665;&#1999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24037;&#20316;\2011~2015&#24037;&#20316;\&#28023;&#21335;\&#28023;&#21335;&#20250;&#25152;&#21450;&#26679;&#26495;&#25151;&#32467;&#31639;&#36164;&#26009;%20&#19978;&#28023;&#24212;&#20154;\&#24212;&#20154;&#28023;&#21335;&#32467;&#31639;&#28165;&#21333;\1.0&#36865;&#23457;%20&#19990;&#33538;&#26376;&#20142;&#28286;&#20250;&#25152;&#19968;&#23618;&#31934;&#35013;&#20462;&#32467;&#31639;13083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jf52\&#20849;&#20139;&#25991;&#20214;&#22841;&#21016;&#28165;\&#20849;&#20139;&#25991;&#20214;&#22841;&#21016;&#28165;\20160425&#21069;&#28393;&#20225;&#19994;&#22825;&#22320;&#19977;&#26399;\&#25237;&#26631;&#25991;&#20214;\000&#25237;&#26631;&#28165;&#21333;\20160506&#31532;&#19968;&#36718;&#25237;&#26631;&#25253;&#20215;&#28165;&#21333;\&#23450;&#31295;&#25991;&#20214;\16%20Bill-&#21033;&#28070;\&#19994;&#20313;&#24037;&#31243;\&#32418;&#28070;&#21672;&#35810;&#20844;&#21496;\&#24037;&#31243;&#37327;\&#25253;&#19994;&#20027;1\&#19975;&#31185;&#28165;&#21333;&#65288;&#31649;&#36947;&#29256;&#65289;\&#31649;&#36947;\&#20108;&#26631;&#27573;\&#24037;&#31243;&#36164;&#26009;\&#19975;&#31185;\&#37329;&#22495;&#34013;&#28286;\5-13&#35780;&#26631;\&#21672;&#35810;&#20844;&#21496;\&#24037;&#31243;&#36164;&#26009;\&#19975;&#31185;\&#22478;&#33457;&#20843;&#26399;&#32467;&#31639;\&#38468;&#20214;3-1%20&#25237;&#26631;&#25253;&#20215;&#28165;&#21333;&#65288;&#21512;&#21516;&#20215;&#6528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25104;&#26412;&#31649;&#29702;&#20013;&#24515;\02&#26928;&#27954;&#23707;&#39033;&#30446;\02&#22235;&#23395;&#37202;&#24215;\02&#25307;&#25237;&#26631;&#36164;&#26009;\&#25307;&#25237;&#26631;\&#22235;&#23395;&#20844;&#23507;&#27004;\04%20&#22235;&#23395;&#20844;&#23507;&#27004;&#31934;&#35013;&#25307;&#26631;\04%20&#22235;&#23395;&#20844;&#23507;\06&#35758;&#26631;&#36807;&#31243;\6.1&#35780;&#26631;&#20998;&#26512;\9&#23478;&#25237;&#26631;&#25991;&#20214;\&#24191;&#24030;&#29664;&#27743;\&#32463;&#27982;&#26631;\&#19977;&#20122;&#28023;&#26848;&#28286;&#22235;&#23395;&#24230;&#20551;&#37202;&#24215;&#20844;&#23507;&#26679;&#26495;&#38388;&#31934;&#35013;&#20462;&#24037;&#31243;&#25237;&#26631;&#25991;&#20214;&#65288;&#32463;&#27982;&#26631;&#65289;\&#38468;&#20214;&#19977;&#65306;&#19977;&#20122;&#22235;&#23395;&#37202;&#24215;&#31934;&#35013;&#20462;&#20844;&#23507;&#27004;&#26679;&#26495;&#25151;&#35013;&#20462;&#24037;&#31243;&#25253;&#20215;&#28165;&#21333;2016-12-2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27494;&#27721;\2007&#24180;&#24230;&#24037;&#31243;\0802&#20013;&#20896;&#22823;&#21414;\&#25253;&#20215;\&#25253;&#20215;\&#26395;&#20140;A&#21306;&#25307;&#26631;\&#26395;&#20140;&#20303;&#23429;&#22806;&#39280;&#20998;&#21253;\&#22806;&#39280;&#35780;&#26631;\&#26395;&#20140;4&#65283;&#20303;&#23429;&#22806;&#39280;&#28165;&#21333;061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25335;&#36125;&#30340;&#25968;&#25454;\T60p&#30005;&#33041;&#25991;&#20214;10.3.10\E&#30424;&#25991;&#20214;\&#24352;&#24314;&#33635;&#25991;&#20214;\&#36817;&#26399;&#23454;&#26045;&#39033;&#30446;\&#27491;&#33635;&#22320;&#20135;\&#24635;&#21253;&#25307;&#26631;\&#28165;&#21333;&#32534;&#21046;\2013.9.18&#27491;&#33635;&#24635;&#21253;&#28165;&#21333;(%20&#34987;&#26356;&#26032;&#20102;&#65289;\&#24314;&#31569;&#37096;&#20998;\&#35013;&#20462;&#37096;&#20998;\&#22806;&#22681;&#38754;&#21450;&#33050;&#25163;&#26550;&#35745;&#31639;&#34920;"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icrosof-d9dfc6\&#26412;&#22320;&#30913;&#30424;%20(d)\2010&#24180;\&#23457;&#35745;\&#27973;&#27700;&#28286;\WINDOWS\Desktop\&#22797;&#20214;%20&#21830;&#19994;&#25253;&#3492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24037;&#31243;&#39033;&#30446;\&#23425;&#24503;&#23616;\&#29976;&#26848;&#24320;&#26029;&#12289;&#23706;&#21518;\&#23425;&#24503;&#24320;&#26029;%20&#23706;&#21518;&#23457;&#21518;2009.1.9\&#25104;&#26524;\&#23450;&#31295;\&#29976;&#26848;-&#26704;&#22478;&#24320;&#26029;\&#31119;&#23433;&#29301;&#24341;&#21464;&#26045;&#24037;&#26126;&#32454;&#34920;&#65288;8&#26376;28&#26085;&#6528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23457;&#26680;\2011&#24180;&#37197;&#32593;\&#37197;&#32593;\&#26032;&#24314;20KV&#20197;&#19979;&#32447;&#36335;&#24037;&#31243;&#39044;&#31639;(&#33539;&#2641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33539;&#26412;\&#20809;&#32518;&#36890;&#20449;&#33539;&#26412;\&#32447;&#36335;&#27010;&#39044;&#31639;&#33539;&#26412;.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https://microsoftapc-my.sharepoint.com/personal/v-joyliu1_microsoft_com/Documents/Hackathon/COST.xlsm" TargetMode="External"/><Relationship Id="rId1" Type="http://schemas.openxmlformats.org/officeDocument/2006/relationships/externalLinkPath" Target="COST.xlsm"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file:///C:\Users\cindy.sun\Desktop\&#26700;&#38754;\&#24494;&#36719;B01\GC&#22238;&#26631;\GC%202nd%20round%20submission\HYE\Bill%20of%20Quantities%20&#25253;&#20215;&#28165;&#21333;\HYE.xlsx" TargetMode="External"/><Relationship Id="rId1" Type="http://schemas.openxmlformats.org/officeDocument/2006/relationships/externalLinkPath" Target="file:///C:\Users\cindy.sun\Desktop\&#26700;&#38754;\&#24494;&#36719;B01\GC&#22238;&#26631;\GC%202nd%20round%20submission\HYE\Bill%20of%20Quantities%20&#25253;&#20215;&#28165;&#21333;\HYE.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X:\01%20&#36745;&#37050;\04%20&#21830;&#21153;&#31649;&#29702;\HYE2026\01%20&#25237;&#26631;&#38454;&#27573;\HYE2026-TM025%20Microsoft%20SH%20Campus%20Building%2001%20Renovation%20Works\02%20&#25253;&#20215;\Appendix%20A%20-%20Bill%20of%20Quantities_&#25253;&#20215;&#21333;&#65288;&#21487;&#32534;&#36753;&#29256;&#2641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清单疑问（ES01装饰）"/>
      <sheetName val="Sheet1"/>
      <sheetName val="工作簿1"/>
      <sheetName val="fitout quotation"/>
      <sheetName val="1"/>
    </sheetNames>
    <definedNames>
      <definedName name="text_1"/>
      <definedName name="text_2"/>
      <definedName name="text03_1"/>
      <definedName name="text03_2"/>
    </defined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措施费1"/>
      <sheetName val="7＃"/>
      <sheetName val="8＃"/>
      <sheetName val="9#"/>
      <sheetName val="10＃"/>
      <sheetName val="11＃"/>
      <sheetName val="12＃"/>
      <sheetName val="II标段汇总表"/>
      <sheetName val="基本措施费"/>
      <sheetName val="1＃"/>
      <sheetName val="2＃"/>
      <sheetName val="3＃"/>
      <sheetName val="4＃ "/>
      <sheetName val="5＃"/>
      <sheetName val="6＃"/>
      <sheetName val="I标汇总表"/>
      <sheetName val="Sheet1"/>
      <sheetName val="报价细目表"/>
      <sheetName val="材料报价表"/>
      <sheetName val="资产负债表"/>
      <sheetName val="Estimate Details"/>
      <sheetName val="2.1设计部"/>
      <sheetName val="Sheet9"/>
      <sheetName val="门窗铝板（1-12＃楼）091120"/>
      <sheetName val="fitout quotation"/>
      <sheetName val="train cash"/>
      <sheetName val="accom ca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w"/>
      <sheetName val="before"/>
      <sheetName val="CHART"/>
      <sheetName val="报价细目表"/>
      <sheetName val="Estimate Details"/>
      <sheetName val="8、主材品牌表 "/>
      <sheetName val="SW-TEO"/>
      <sheetName val="fitout quotation"/>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零星"/>
      <sheetName val="土方"/>
      <sheetName val="土方计价表"/>
      <sheetName val="变1"/>
      <sheetName val="065"/>
      <sheetName val="#REF!"/>
      <sheetName val="fitout quotation"/>
      <sheetName val="BJ"/>
      <sheetName val="C1"/>
      <sheetName val="封"/>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4Test5"/>
      <sheetName val="#REF!"/>
      <sheetName val="B1-LX-A037"/>
      <sheetName val="B1-ZL-A065"/>
      <sheetName val="BJ"/>
      <sheetName val="送电装材统计"/>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Charter"/>
      <sheetName val="Lists"/>
      <sheetName val="Cat A Change Control"/>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取费"/>
      <sheetName val="安专汇"/>
      <sheetName val="建专汇"/>
      <sheetName val="封面(施工队)"/>
      <sheetName val="封面(用户)"/>
      <sheetName val="封"/>
      <sheetName val="封面(设计)"/>
      <sheetName val="编"/>
      <sheetName val="总表"/>
      <sheetName val="总"/>
      <sheetName val="本体1"/>
      <sheetName val="汇(通其)"/>
      <sheetName val="建筑工程"/>
      <sheetName val="架空线路"/>
      <sheetName val="通信工程"/>
      <sheetName val="费用"/>
      <sheetName val="其他"/>
      <sheetName val="材料清单"/>
      <sheetName val="土方"/>
      <sheetName val="地形.运输量"/>
      <sheetName val="混凝土"/>
      <sheetName val="工程量"/>
      <sheetName val="送电装材统计"/>
      <sheetName val="00000ppy"/>
      <sheetName val="BJ"/>
      <sheetName val="C1"/>
      <sheetName val="帮助"/>
      <sheetName val="Model"/>
      <sheetName val="CONSTRUCTION COMPON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
      <sheetName val="封面1"/>
      <sheetName val="编制说明"/>
      <sheetName val="汇总"/>
      <sheetName val="工地运输"/>
      <sheetName val="架线"/>
      <sheetName val="附件"/>
      <sheetName val="送电装材统计"/>
      <sheetName val="安坑"/>
      <sheetName val="永铁"/>
      <sheetName val="三永1"/>
      <sheetName val="西铁"/>
      <sheetName val="西铁支线"/>
      <sheetName val="地形系数"/>
      <sheetName val="Sheet1"/>
      <sheetName val="B1-LX-A037"/>
      <sheetName val="B1-ZL-A065"/>
      <sheetName val="工程量计算"/>
      <sheetName val="Constr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功能位置主数据"/>
      <sheetName val="设备主数据"/>
      <sheetName val="设备分类"/>
      <sheetName val="设备特性"/>
      <sheetName val="工作中心"/>
      <sheetName val="任务清单"/>
      <sheetName val="设备BOM"/>
      <sheetName val="设备文档"/>
      <sheetName val="模板参数"/>
      <sheetName val="Toolbox"/>
      <sheetName val="Sheet1"/>
      <sheetName val="内围地梁钢筋说明"/>
      <sheetName val="送电装材统计"/>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计算稿"/>
      <sheetName val="汇总"/>
      <sheetName val="帮助"/>
      <sheetName val="单位库"/>
      <sheetName val="材料清单"/>
      <sheetName val="汇总表"/>
      <sheetName val="XL4Poppy"/>
      <sheetName val="内围地梁钢筋说明"/>
      <sheetName val="3"/>
      <sheetName val="7"/>
      <sheetName val="投标材料清单 "/>
      <sheetName val="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工程量计算"/>
      <sheetName val="汇总清单"/>
      <sheetName val="已确定合同单价"/>
      <sheetName val="说明"/>
      <sheetName val="目录"/>
      <sheetName val="Parameters"/>
      <sheetName val="总价"/>
      <sheetName val="Constr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
      <sheetName val="封面1"/>
      <sheetName val="编制说明"/>
      <sheetName val="汇总"/>
      <sheetName val="工地运输"/>
      <sheetName val="架线"/>
      <sheetName val="附件"/>
      <sheetName val="送电装材统计"/>
      <sheetName val="安坑"/>
      <sheetName val="永铁"/>
      <sheetName val="三永1"/>
      <sheetName val="西铁"/>
      <sheetName val="西铁支线"/>
      <sheetName val="地形系数"/>
      <sheetName val="Sheet1"/>
      <sheetName val="铝合金"/>
      <sheetName val="XL4Poppy"/>
      <sheetName val="汇总表"/>
      <sheetName val="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tional ROM Budget"/>
      <sheetName val="Analyze Backup Detail"/>
      <sheetName val="Control Final Invoices"/>
      <sheetName val="Construction"/>
    </sheetNames>
    <sheetDataSet>
      <sheetData sheetId="0"/>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装饰汇总"/>
      <sheetName val="1"/>
      <sheetName val="2"/>
      <sheetName val="4"/>
      <sheetName val="5"/>
      <sheetName val="6"/>
      <sheetName val="7"/>
      <sheetName val="8"/>
      <sheetName val="单价"/>
      <sheetName val="投标材料清单 "/>
      <sheetName val="材料汇总"/>
      <sheetName val="面积合计（藏）"/>
      <sheetName val="用量分摊(藏）"/>
      <sheetName val="110KV"/>
      <sheetName val="#REF!"/>
      <sheetName val="组价分析表"/>
      <sheetName val="投标报价汇总表"/>
      <sheetName val="eqpmad2"/>
      <sheetName val="Toolbox"/>
      <sheetName val="电视监控"/>
      <sheetName val="Open"/>
      <sheetName val="G2TempSheet"/>
      <sheetName val="갑지"/>
      <sheetName val="主要规划指标"/>
      <sheetName val="Main"/>
      <sheetName val="주식"/>
      <sheetName val="材料价格表"/>
      <sheetName val="综合单价分析表"/>
      <sheetName val="二标段综合单价分析表"/>
      <sheetName val="XLR_NoRangeSheet"/>
      <sheetName val="土建工程综合单价表"/>
      <sheetName val="土建工程综合单价组价明细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编制"/>
      <sheetName val="总价"/>
      <sheetName val="Sheet5"/>
      <sheetName val="运输"/>
      <sheetName val="土石方"/>
      <sheetName val="基础"/>
      <sheetName val="杆塔"/>
      <sheetName val="架线"/>
      <sheetName val="附件"/>
      <sheetName val="装置"/>
      <sheetName val="基础数据"/>
      <sheetName val="运量表"/>
      <sheetName val="地形系数"/>
      <sheetName val="其它表"/>
      <sheetName val="排水沟"/>
      <sheetName val="封面"/>
      <sheetName val="金具型式"/>
      <sheetName val="基础型式"/>
      <sheetName val="杆塔型式"/>
      <sheetName val="砼量"/>
      <sheetName val="土方量计算"/>
      <sheetName val="Sheet3"/>
      <sheetName val="批准"/>
      <sheetName val="目录"/>
      <sheetName val="Sheet2"/>
      <sheetName val="Sheet4"/>
      <sheetName val="建安"/>
      <sheetName val="POWER ASSUMPTIONS"/>
      <sheetName val="封"/>
      <sheetName val="模板参数"/>
      <sheetName val="XLR_NoRange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gration Matrix"/>
      <sheetName val="Integration Space Activities"/>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汇总表"/>
      <sheetName val="单价分析"/>
      <sheetName val="单位库"/>
    </sheetNames>
    <sheetDataSet>
      <sheetData sheetId="0" refreshError="1"/>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KV"/>
      <sheetName val="10KV"/>
      <sheetName val="补偿"/>
      <sheetName val="接地"/>
      <sheetName val="主变"/>
      <sheetName val="控制"/>
      <sheetName val="直流"/>
      <sheetName val="所用电"/>
      <sheetName val="照明1"/>
      <sheetName val="照明2"/>
      <sheetName val="电缆"/>
      <sheetName val="避雷"/>
      <sheetName val="通讯"/>
      <sheetName val="通风"/>
      <sheetName val="报价表"/>
      <sheetName val="模板参数"/>
      <sheetName val="目录"/>
      <sheetName val="JW3"/>
      <sheetName val="JW4"/>
      <sheetName val="JW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Lessons Learned Log"/>
      <sheetName val="RACI"/>
    </sheetNames>
    <sheetDataSet>
      <sheetData sheetId="0"/>
      <sheetData sheetId="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XLR_NoRangeSheet"/>
      <sheetName val="改加胶玻璃、室外栏杆"/>
      <sheetName val="帮助"/>
      <sheetName val="Mp-team 1"/>
      <sheetName val="8"/>
      <sheetName val="2"/>
      <sheetName val="6"/>
      <sheetName val="面积合计（藏）"/>
      <sheetName val="7"/>
      <sheetName val="3"/>
      <sheetName val="4"/>
      <sheetName val="投标材料清单 "/>
      <sheetName val="5"/>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
      <sheetName val="汇总"/>
      <sheetName val="计算表"/>
      <sheetName val="单位"/>
      <sheetName val="常用项目"/>
      <sheetName val="基础"/>
      <sheetName val="工程量计算"/>
      <sheetName val="汇总表"/>
      <sheetName val="土石方计算(2)"/>
      <sheetName val="单位工程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计算稿"/>
      <sheetName val="单位库"/>
      <sheetName val="送电装材统计"/>
      <sheetName val="汇总表"/>
      <sheetName val="材料清单"/>
    </sheetNames>
    <sheetDataSet>
      <sheetData sheetId="0"/>
      <sheetData sheetId="1"/>
      <sheetData sheetId="2"/>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1"/>
      <sheetName val="Summary2"/>
      <sheetName val="OnePager"/>
      <sheetName val="AdditionDesc"/>
      <sheetName val="Scope"/>
      <sheetName val="AdditionalScope"/>
      <sheetName val="Financial Input"/>
      <sheetName val="Financial Analysis"/>
      <sheetName val="Scenarios"/>
      <sheetName val="Upside Case"/>
      <sheetName val="Downside Case"/>
      <sheetName val="No Go"/>
      <sheetName val="Depr Tables"/>
      <sheetName val="Settings"/>
      <sheetName val="IIAM_Draft_1"/>
      <sheetName val="Sheet1"/>
      <sheetName val="Dropdown"/>
      <sheetName val="WLDPivotALLL"/>
      <sheetName val="WLD Pivot MI"/>
      <sheetName val="Consolidated dependency matrix"/>
      <sheetName val="Data"/>
      <sheetName val="New Initiative Questionaire"/>
      <sheetName val="Summary"/>
      <sheetName val="Initiative Cost Summary"/>
      <sheetName val="Participant List"/>
      <sheetName val="Sign-off Table"/>
      <sheetName val="FTR-0# (Card)"/>
      <sheetName val="Template for Avg Loan"/>
      <sheetName val="Template"/>
      <sheetName val="Look Up Tables"/>
      <sheetName val="IS"/>
      <sheetName val="Financial_Input"/>
      <sheetName val="Financial_Analysis"/>
      <sheetName val="Upside_Case"/>
      <sheetName val="Downside_Case"/>
      <sheetName val="No_Go"/>
      <sheetName val="Depr_Tables"/>
      <sheetName val="WLD_Pivot_MI"/>
      <sheetName val="Particpante"/>
      <sheetName val="Assumptions"/>
      <sheetName val="Summit Table"/>
      <sheetName val="Comm Mtg"/>
      <sheetName val="Excess Fees Summary"/>
      <sheetName val="Repricing Control Report"/>
      <sheetName val="Work Efforts"/>
      <sheetName val="Voice"/>
      <sheetName val="Control Charts"/>
      <sheetName val="jan26"/>
      <sheetName val="Projects"/>
      <sheetName val="Financial_Input1"/>
      <sheetName val="Financial_Analysis1"/>
      <sheetName val="Upside_Case1"/>
      <sheetName val="Downside_Case1"/>
      <sheetName val="No_Go1"/>
      <sheetName val="Depr_Tables1"/>
      <sheetName val="WLD_Pivot_MI1"/>
      <sheetName val="Consolidated_dependency_matrix"/>
      <sheetName val="New_Initiative_Questionaire"/>
      <sheetName val="Initiative_Cost_Summary"/>
      <sheetName val="Participant_List"/>
      <sheetName val="Sign-off_Table"/>
      <sheetName val="FTR-0#_(Card)"/>
      <sheetName val="Template_for_Avg_Loan"/>
      <sheetName val="Look_Up_Tables"/>
      <sheetName val="Summit_Table"/>
      <sheetName val="Comm_Mtg"/>
      <sheetName val="Excess_Fees_Summary"/>
      <sheetName val="Repricing_Control_Report"/>
      <sheetName val="Work_Efforts"/>
      <sheetName val="Control_Charts"/>
      <sheetName val="Financial_Input2"/>
      <sheetName val="Financial_Analysis2"/>
      <sheetName val="Upside_Case2"/>
      <sheetName val="Downside_Case2"/>
      <sheetName val="No_Go2"/>
      <sheetName val="Depr_Tables2"/>
      <sheetName val="WLD_Pivot_MI2"/>
      <sheetName val="Consolidated_dependency_matrix1"/>
      <sheetName val="New_Initiative_Questionaire1"/>
      <sheetName val="Initiative_Cost_Summary1"/>
      <sheetName val="Participant_List1"/>
      <sheetName val="Sign-off_Table1"/>
      <sheetName val="FTR-0#_(Card)1"/>
      <sheetName val="Template_for_Avg_Loan1"/>
      <sheetName val="Look_Up_Tables1"/>
      <sheetName val="Summit_Table1"/>
      <sheetName val="Comm_Mtg1"/>
      <sheetName val="Excess_Fees_Summary1"/>
      <sheetName val="Repricing_Control_Report1"/>
      <sheetName val="Work_Efforts1"/>
      <sheetName val="Control_Char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W3"/>
      <sheetName val="JW4"/>
      <sheetName val="JW5"/>
      <sheetName val="fzgc"/>
      <sheetName val="jc"/>
      <sheetName val="jc (2)"/>
      <sheetName val="gclb"/>
      <sheetName val="jj1"/>
      <sheetName val="jj2"/>
      <sheetName val="dx"/>
      <sheetName val="JD"/>
      <sheetName val="lhx"/>
      <sheetName val="JW1"/>
      <sheetName val="JW2"/>
      <sheetName val="hzb"/>
      <sheetName val="总价"/>
      <sheetName val="单位库"/>
      <sheetName val="#REF!"/>
      <sheetName val="定额"/>
      <sheetName val="110KV"/>
      <sheetName val="望通表"/>
      <sheetName val="土石方计算(2)"/>
      <sheetName val="单位工程2"/>
      <sheetName val="做法表"/>
      <sheetName val="配合比"/>
      <sheetName val="K3-1地块1-4#楼"/>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装饰汇总"/>
      <sheetName val="1"/>
      <sheetName val="2"/>
      <sheetName val="3"/>
      <sheetName val="4"/>
      <sheetName val="5"/>
      <sheetName val="6"/>
      <sheetName val="7"/>
      <sheetName val="8"/>
      <sheetName val="单价"/>
      <sheetName val="投标材料清单 "/>
      <sheetName val="材料汇总"/>
      <sheetName val="面积合计（藏）"/>
      <sheetName val="用量分摊(藏）"/>
      <sheetName val="材料"/>
      <sheetName val="定额"/>
      <sheetName val="#REF!"/>
      <sheetName val="投标报价汇总表一"/>
      <sheetName val="装修分部分项工程量清单一"/>
      <sheetName val="组价分析表"/>
      <sheetName val="Financ. Overview"/>
      <sheetName val="Toolbox"/>
      <sheetName val="eqpmad2"/>
      <sheetName val="Sheet9"/>
      <sheetName val="成本汇总"/>
      <sheetName val="一次汇总"/>
      <sheetName val="입찰안"/>
      <sheetName val="分部分项工程量清单"/>
      <sheetName val="XLR_NoRangeSheet"/>
      <sheetName val="土建工程综合单价表"/>
      <sheetName val="土建工程综合单价组价明细表"/>
      <sheetName val="B1-B13户型清单"/>
      <sheetName val="5201.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比较一览表"/>
      <sheetName val="概算比较"/>
      <sheetName val="编制说明书1"/>
      <sheetName val="编制说明书2"/>
      <sheetName val="总报价书"/>
      <sheetName val="本体汇总"/>
      <sheetName val="工地运输"/>
      <sheetName val="土石方"/>
      <sheetName val="基础工程"/>
      <sheetName val="杆塔工程"/>
      <sheetName val="架线"/>
      <sheetName val="附件"/>
      <sheetName val="4.主要材料表"/>
      <sheetName val="5.材料价差表"/>
      <sheetName val="6.运输重量表"/>
      <sheetName val="7.其他费用"/>
      <sheetName val="8.编制年价差表"/>
      <sheetName val="综合地形系数"/>
      <sheetName val="基础材料统计"/>
      <sheetName val="E段基础"/>
      <sheetName val="砂石水泥计算"/>
      <sheetName val="混凝土杆材料"/>
      <sheetName val="基础材料"/>
      <sheetName val="铁塔材料明细"/>
      <sheetName val="杆塔材料"/>
      <sheetName val="接地材料 "/>
      <sheetName val="运输重量"/>
      <sheetName val="架线材料"/>
      <sheetName val="附件材料"/>
      <sheetName val="材料价差表"/>
      <sheetName val="电气材料"/>
      <sheetName val="金具、电瓷价重表"/>
      <sheetName val="电气材料统计"/>
      <sheetName val="金具总表"/>
      <sheetName val="运输量表"/>
      <sheetName val="97定额库"/>
      <sheetName val="2002送电预算价"/>
      <sheetName val="2001送电预算河南价"/>
      <sheetName val="土石方计算(2)"/>
      <sheetName val="单位工程2"/>
      <sheetName val="单位工程1"/>
      <sheetName val="单位工程(2)"/>
      <sheetName val="土石方计算 (1)"/>
      <sheetName val="单位工程3"/>
      <sheetName val="本工程定额(北京)"/>
      <sheetName val="单位工程4"/>
      <sheetName val="光缆定额"/>
      <sheetName val="单位工程5"/>
      <sheetName val="单位工程6"/>
      <sheetName val="杆塔占地"/>
      <sheetName val="平均工日消耗"/>
      <sheetName val="总价"/>
      <sheetName val="XLR_NoRangeSheet"/>
      <sheetName val="开办项目 "/>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编制总说明"/>
      <sheetName val="汇总表"/>
      <sheetName val="工程量清单报价表"/>
      <sheetName val="MQ1"/>
      <sheetName val="MQ2"/>
      <sheetName val="MQ3"/>
      <sheetName val="MQ4"/>
      <sheetName val="MQ5"/>
      <sheetName val="MQ6"/>
      <sheetName val="MQ7"/>
      <sheetName val="MQ8"/>
      <sheetName val="MQ9"/>
      <sheetName val="MQ10"/>
      <sheetName val="MQ11"/>
      <sheetName val="MQ12"/>
      <sheetName val="MQ13"/>
      <sheetName val="MQ14"/>
      <sheetName val="MQ15"/>
      <sheetName val="MQ16"/>
      <sheetName val="MQ17"/>
      <sheetName val="MQ18"/>
      <sheetName val="LM1"/>
      <sheetName val="玻璃顶蓬A"/>
      <sheetName val="玻璃顶蓬B"/>
      <sheetName val="玻璃顶蓬C"/>
      <sheetName val="玻璃顶蓬D"/>
      <sheetName val="MQ1不锈钢雨篷"/>
      <sheetName val="MQ2不锈钢雨篷"/>
      <sheetName val="MQ3不锈钢雨篷"/>
      <sheetName val="MQ4不锈钢雨篷"/>
      <sheetName val="MQ5-7不锈钢雨篷"/>
      <sheetName val="MQ8不锈钢雨篷"/>
      <sheetName val="MQ9不锈钢雨篷"/>
      <sheetName val="MQ10不锈钢雨篷"/>
      <sheetName val="LBC1"/>
      <sheetName val="LBC2"/>
      <sheetName val="LBC3"/>
      <sheetName val="材料清单"/>
      <sheetName val="施工参考单价报价表"/>
      <sheetName val="甲指乙供材料报价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合同清单"/>
      <sheetName val="C1"/>
      <sheetName val="C2"/>
      <sheetName val="C3改"/>
      <sheetName val="C3"/>
      <sheetName val="C4改"/>
      <sheetName val="C4"/>
      <sheetName val="C5"/>
      <sheetName val="C5&quot;"/>
      <sheetName val="C10"/>
      <sheetName val="C11"/>
      <sheetName val="C12"/>
      <sheetName val="C13"/>
      <sheetName val="C14"/>
      <sheetName val="C15"/>
      <sheetName val="C16"/>
      <sheetName val="C17"/>
      <sheetName val="C18"/>
      <sheetName val="C19"/>
      <sheetName val="C20"/>
      <sheetName val="C21"/>
      <sheetName val="C22"/>
      <sheetName val="C23"/>
      <sheetName val="C24"/>
      <sheetName val="C25改"/>
      <sheetName val="C25"/>
      <sheetName val="C26改"/>
      <sheetName val="C26"/>
      <sheetName val="C27"/>
      <sheetName val="C28"/>
      <sheetName val="C29"/>
      <sheetName val="C30"/>
      <sheetName val="C31"/>
      <sheetName val="C32"/>
      <sheetName val="C33"/>
      <sheetName val="C34"/>
      <sheetName val="C35"/>
      <sheetName val="C37"/>
      <sheetName val="C38"/>
      <sheetName val="C39"/>
      <sheetName val="C40"/>
      <sheetName val="C41"/>
      <sheetName val="C42"/>
      <sheetName val="C43"/>
      <sheetName val="C44"/>
      <sheetName val="C45"/>
      <sheetName val="C46改"/>
      <sheetName val="C46"/>
      <sheetName val="C47"/>
      <sheetName val="LC0615A"/>
      <sheetName val="LC0615"/>
      <sheetName val="LMC2124"/>
      <sheetName val="LM49"/>
      <sheetName val="LM1"/>
      <sheetName val="LM2"/>
      <sheetName val="LM3"/>
      <sheetName val="LM5"/>
      <sheetName val="sheet2"/>
      <sheetName val="施工参考单价报价表"/>
      <sheetName val="甲指乙供材料报价表"/>
      <sheetName val="汇总表"/>
      <sheetName val=" 室内装饰房型一"/>
      <sheetName val="配合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说明"/>
      <sheetName val="总表"/>
      <sheetName val="取费"/>
      <sheetName val="运输"/>
      <sheetName val="土石"/>
      <sheetName val="基础"/>
      <sheetName val="铁塔"/>
      <sheetName val="架线"/>
      <sheetName val="附件"/>
      <sheetName val="材料"/>
      <sheetName val="其他"/>
      <sheetName val="定额"/>
      <sheetName val="说明2"/>
      <sheetName val="总"/>
      <sheetName val="运"/>
      <sheetName val="土"/>
      <sheetName val="基"/>
      <sheetName val="塔"/>
      <sheetName val="线"/>
      <sheetName val="运量"/>
      <sheetName val="本体"/>
      <sheetName val="地形系数"/>
      <sheetName val="基础用"/>
      <sheetName val="铁塔量"/>
      <sheetName val="金具重"/>
      <sheetName val="金具价格"/>
      <sheetName val="Sheet2"/>
      <sheetName val="运输量"/>
      <sheetName val="封"/>
      <sheetName val="110KV"/>
      <sheetName val="基础资料（B）"/>
      <sheetName val="3"/>
      <sheetName val=" 室内装饰房型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综合总计"/>
      <sheetName val="开办项目 "/>
      <sheetName val="一层装饰"/>
      <sheetName val="塔楼装饰"/>
      <sheetName val="签证部分"/>
      <sheetName val="其他费用"/>
      <sheetName val="工程材料"/>
      <sheetName val="XLR_NoRangeSheet"/>
      <sheetName val="土石方计算(2)"/>
      <sheetName val="单位工程2"/>
      <sheetName val="门窗表"/>
      <sheetName val="材料清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施工参考单价报价表"/>
      <sheetName val="甲指乙供材料报价表"/>
      <sheetName val="城花八期报价汇总表"/>
      <sheetName val="A区土建±0.00以下土建工程"/>
      <sheetName val="A区土建±0.00以上建工程"/>
      <sheetName val="B区土建工程"/>
      <sheetName val="电气"/>
      <sheetName val="给排水"/>
      <sheetName val="A区土建±0.00以下清单调整报价表"/>
      <sheetName val="A区土建±0.00以上清单调整报价表"/>
      <sheetName val="B区土建清单调整报价表"/>
      <sheetName val="电气清单调整报价表"/>
      <sheetName val="给排水清单调整报价表"/>
      <sheetName val="其它工作项目报价清单"/>
      <sheetName val="包干费用报价表"/>
      <sheetName val="材料耗用量表"/>
      <sheetName val="甲方、三方分包工程"/>
      <sheetName val="甲方、三方材料"/>
      <sheetName val="常用项目"/>
      <sheetName val="材料清单"/>
      <sheetName val="资产负债表"/>
      <sheetName val="单位工程2"/>
      <sheetName val="土石方计算(2)"/>
      <sheetName val="混凝土杆材料"/>
      <sheetName val="铁塔材料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投标须知"/>
      <sheetName val="工程总价"/>
      <sheetName val="汇总表"/>
      <sheetName val="措施费 "/>
      <sheetName val="房型一汇总"/>
      <sheetName val=" 室内装饰房型一"/>
      <sheetName val="二次机电房型一"/>
      <sheetName val="房型二汇总 "/>
      <sheetName val=" 室内装饰房型二"/>
      <sheetName val="二次机电房型二"/>
      <sheetName val="房型三汇总 "/>
      <sheetName val=" 室内装饰房型三"/>
      <sheetName val="二次机电房型三"/>
      <sheetName val="电梯厅汇总"/>
      <sheetName val=" 室内装饰电梯厅"/>
      <sheetName val="二次机电电梯厅"/>
      <sheetName val="零星工程-不计入总价"/>
      <sheetName val="单位库"/>
      <sheetName val="材料清单"/>
      <sheetName val="配合比"/>
      <sheetName val="定额"/>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装饰汇总"/>
      <sheetName val="1"/>
      <sheetName val="2"/>
      <sheetName val="3"/>
      <sheetName val="4"/>
      <sheetName val="5"/>
      <sheetName val="6"/>
      <sheetName val="7"/>
      <sheetName val="8"/>
      <sheetName val="单价"/>
      <sheetName val="投标材料清单 "/>
      <sheetName val="材料汇总"/>
      <sheetName val="面积合计（藏）"/>
      <sheetName val="用量分摊(藏）"/>
      <sheetName val="封"/>
      <sheetName val="#REF!"/>
      <sheetName val="土建工程综合单价表"/>
      <sheetName val="土建工程综合单价组价明细表"/>
      <sheetName val="组价分析表"/>
      <sheetName val="Main"/>
      <sheetName val="Open"/>
      <sheetName val="Financ. Overview"/>
      <sheetName val="Toolbox"/>
      <sheetName val="单价分析表"/>
      <sheetName val="eqpmad2"/>
      <sheetName val="SW-TEO"/>
      <sheetName val="单位库"/>
      <sheetName val="금융비용"/>
      <sheetName val="给排水设置"/>
      <sheetName val="给排水计算"/>
      <sheetName val="清单1-裙楼Ea"/>
      <sheetName val="B1-B13户型清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门窗表"/>
      <sheetName val="外墙面"/>
      <sheetName val="#REF!"/>
      <sheetName val="施工参考单价报价表"/>
      <sheetName val="其它工作项目报价清单"/>
      <sheetName val="甲指乙供材料报价表"/>
      <sheetName val="G2TempSheet"/>
      <sheetName val="9#楼大堂（装饰）"/>
      <sheetName val="JW3"/>
      <sheetName val="JW4"/>
      <sheetName val="JW5"/>
      <sheetName val="材料表"/>
      <sheetName val="1"/>
      <sheetName val="1."/>
      <sheetName val="铁塔材料明细"/>
      <sheetName val="混凝土杆材料"/>
      <sheetName val="单位工程2"/>
      <sheetName val="土石方计算(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资产负债表"/>
      <sheetName val="损益表"/>
      <sheetName val="现金流量表"/>
      <sheetName val="利润分配表"/>
      <sheetName val="负债表试算"/>
      <sheetName val="损益表试算"/>
      <sheetName val="差异调整"/>
      <sheetName val="重分类"/>
      <sheetName val="不调整"/>
      <sheetName val="流量表试算"/>
      <sheetName val="核对表"/>
      <sheetName val="工作总结"/>
      <sheetName val="趋势-横向"/>
      <sheetName val="趋势-纵向"/>
      <sheetName val="趋势-纵向2"/>
      <sheetName val="比率分析"/>
      <sheetName val="防水指标"/>
      <sheetName val="门窗表"/>
      <sheetName val="规划指标"/>
      <sheetName val="8、主材品牌表 "/>
      <sheetName val="合同明细"/>
      <sheetName val="Sheet1"/>
      <sheetName val="Estimate Details"/>
      <sheetName val="土石方计算(2)"/>
      <sheetName val="单位工程2"/>
      <sheetName val="工程量"/>
      <sheetName val="fitout quot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用说明"/>
      <sheetName val="配合比"/>
      <sheetName val="明细表"/>
      <sheetName val="统计"/>
      <sheetName val="送电装材统计"/>
      <sheetName val="材料清单"/>
      <sheetName val="工程量"/>
      <sheetName val="fitout quotation"/>
      <sheetName val="开办项目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取费"/>
      <sheetName val="安专汇"/>
      <sheetName val="建专汇"/>
      <sheetName val="封面(施工队)"/>
      <sheetName val="封面(用户)"/>
      <sheetName val="封"/>
      <sheetName val="封面(设计)"/>
      <sheetName val="编"/>
      <sheetName val="总表"/>
      <sheetName val="总"/>
      <sheetName val="本体1"/>
      <sheetName val="汇(通其)"/>
      <sheetName val="建筑工程"/>
      <sheetName val="架空线路"/>
      <sheetName val="通信工程"/>
      <sheetName val="费用"/>
      <sheetName val="其他"/>
      <sheetName val="材料清单"/>
      <sheetName val="土方"/>
      <sheetName val="地形.运输量"/>
      <sheetName val="混凝土"/>
      <sheetName val="工程量"/>
      <sheetName val="工程材料"/>
      <sheetName val="定额"/>
      <sheetName val="BJ"/>
      <sheetName val="门窗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比较一览表"/>
      <sheetName val="概算比较"/>
      <sheetName val="封面"/>
      <sheetName val="封二"/>
      <sheetName val="目录"/>
      <sheetName val="说明"/>
      <sheetName val="总表"/>
      <sheetName val="本体汇总"/>
      <sheetName val="工地运输"/>
      <sheetName val="土石方"/>
      <sheetName val="基础工程"/>
      <sheetName val="杆塔工程"/>
      <sheetName val="架线"/>
      <sheetName val="附件"/>
      <sheetName val="本体费用"/>
      <sheetName val="其他费用报价表"/>
      <sheetName val="辅助设施"/>
      <sheetName val="主要材料表"/>
      <sheetName val="运输重量表"/>
      <sheetName val="综合地形系数"/>
      <sheetName val="砂石水泥计算"/>
      <sheetName val="Sheet1"/>
      <sheetName val="5.材料价差表"/>
      <sheetName val="光纤"/>
      <sheetName val="基础材料统计"/>
      <sheetName val="C段"/>
      <sheetName val="C段单腿量"/>
      <sheetName val="C段铁塔"/>
      <sheetName val="F段基础统计表 "/>
      <sheetName val="雷盐基础量"/>
      <sheetName val="基础材料"/>
      <sheetName val="混凝土杆材料"/>
      <sheetName val="铁塔材料"/>
      <sheetName val="接地材料 "/>
      <sheetName val="铁塔材料明细"/>
      <sheetName val="杆塔材料"/>
      <sheetName val="架线材料"/>
      <sheetName val="附件材料"/>
      <sheetName val="材料表"/>
      <sheetName val="运输重量"/>
      <sheetName val="电气材料 "/>
      <sheetName val="金具总表 "/>
      <sheetName val="材料价差表"/>
      <sheetName val="金具、电瓷价重表"/>
      <sheetName val="电气材料统计"/>
      <sheetName val="本工程定额(北京)"/>
      <sheetName val="97定额库"/>
      <sheetName val="2002送电预算价"/>
      <sheetName val="2001送电预算河南价"/>
      <sheetName val="单位工程2"/>
      <sheetName val="单位工程1"/>
      <sheetName val="土石方计算 (1)"/>
      <sheetName val="土石方计算(3)"/>
      <sheetName val="土石方计算(2)"/>
      <sheetName val="基础量统计"/>
      <sheetName val="单位工程(2)"/>
      <sheetName val="单位工程3"/>
      <sheetName val="单位工程4"/>
      <sheetName val="光缆定额"/>
      <sheetName val="单位工程5"/>
      <sheetName val="单位工程6"/>
      <sheetName val="单位工程8"/>
      <sheetName val="铁塔统计"/>
      <sheetName val="杆塔占地"/>
      <sheetName val="运输量表"/>
      <sheetName val="平均工日消耗"/>
      <sheetName val="交叉跨越"/>
      <sheetName val="勘测设计（不打印）"/>
      <sheetName val="封"/>
      <sheetName val="1"/>
      <sheetName val="承台(砖模) "/>
      <sheetName val="柱"/>
      <sheetName val="BJ"/>
      <sheetName val="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ary"/>
      <sheetName val="Introduction"/>
      <sheetName val="Rules of measurement"/>
      <sheetName val="PER Budget"/>
      <sheetName val="QS Estimation"/>
      <sheetName val="Vendor Quotation"/>
      <sheetName val="MAPPING RULES"/>
      <sheetName val="Historical Unit Rates"/>
      <sheetName val="HYE新增项"/>
      <sheetName val="HYE-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2">
          <cell r="B22">
            <v>2499.9999999999968</v>
          </cell>
        </row>
      </sheetData>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Introduction"/>
      <sheetName val="Rules of measurement"/>
      <sheetName val="Summary"/>
      <sheetName val="Quotation"/>
      <sheetName val="新增项"/>
      <sheetName val="option"/>
    </sheetNames>
    <sheetDataSet>
      <sheetData sheetId="0" refreshError="1"/>
      <sheetData sheetId="1" refreshError="1"/>
      <sheetData sheetId="2" refreshError="1"/>
      <sheetData sheetId="3" refreshError="1">
        <row r="2">
          <cell r="A2" t="str">
            <v>CHN, Shanghai Campus Building 1 RF Project</v>
          </cell>
        </row>
        <row r="4">
          <cell r="A4" t="str">
            <v>Issue Date: 2026/08/04</v>
          </cell>
        </row>
        <row r="6">
          <cell r="A6" t="str">
            <v>Name of Tenderer:___HYE_________________________________</v>
          </cell>
        </row>
      </sheetData>
      <sheetData sheetId="4" refreshError="1"/>
      <sheetData sheetId="5" refreshError="1"/>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troduction"/>
      <sheetName val="Rules of measurement"/>
      <sheetName val="Summary"/>
      <sheetName val="Quotation"/>
      <sheetName val="新增项"/>
      <sheetName val="option"/>
    </sheetNames>
    <sheetDataSet>
      <sheetData sheetId="0"/>
      <sheetData sheetId="1"/>
      <sheetData sheetId="2"/>
      <sheetData sheetId="3">
        <row r="2">
          <cell r="A2" t="str">
            <v>CHN, Shanghai Campus Building 1 RF Project</v>
          </cell>
        </row>
        <row r="4">
          <cell r="A4" t="str">
            <v>Issue Date: 2026/08/04</v>
          </cell>
        </row>
      </sheetData>
      <sheetData sheetId="4"/>
      <sheetData sheetId="5"/>
      <sheetData sheetId="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view="pageBreakPreview" topLeftCell="A8" zoomScale="75" zoomScaleNormal="100" workbookViewId="0">
      <selection activeCell="D8" sqref="D8:F8"/>
    </sheetView>
  </sheetViews>
  <sheetFormatPr defaultColWidth="9.1640625" defaultRowHeight="14.45"/>
  <cols>
    <col min="1" max="1" width="7.5" style="35" customWidth="1"/>
    <col min="2" max="2" width="48.33203125" style="35" customWidth="1"/>
    <col min="3" max="3" width="4.5" style="35" customWidth="1"/>
    <col min="4" max="4" width="62.6640625" style="35" customWidth="1"/>
    <col min="5" max="5" width="4.1640625" style="35" customWidth="1"/>
    <col min="6" max="6" width="11.83203125" style="35" customWidth="1"/>
    <col min="7" max="7" width="34.5" style="35" customWidth="1"/>
    <col min="8" max="16384" width="9.1640625" style="35"/>
  </cols>
  <sheetData>
    <row r="1" spans="1:7" ht="15.6">
      <c r="A1" s="36"/>
      <c r="B1" s="37"/>
      <c r="C1" s="37"/>
      <c r="D1" s="36"/>
      <c r="E1" s="36"/>
      <c r="F1" s="36"/>
    </row>
    <row r="2" spans="1:7" ht="15.6">
      <c r="A2" s="313" t="s">
        <v>0</v>
      </c>
      <c r="B2" s="313"/>
      <c r="C2" s="313"/>
      <c r="D2" s="313"/>
      <c r="E2" s="313"/>
      <c r="F2" s="313"/>
    </row>
    <row r="3" spans="1:7" ht="15.6">
      <c r="A3" s="314" t="s">
        <v>1</v>
      </c>
      <c r="B3" s="314"/>
      <c r="C3" s="314"/>
      <c r="D3" s="314"/>
      <c r="E3" s="314"/>
      <c r="F3" s="314"/>
    </row>
    <row r="4" spans="1:7" ht="15.6">
      <c r="A4" s="314" t="s">
        <v>2</v>
      </c>
      <c r="B4" s="314"/>
      <c r="C4" s="314"/>
      <c r="D4" s="314"/>
      <c r="E4" s="314"/>
      <c r="F4" s="314"/>
    </row>
    <row r="5" spans="1:7" ht="15.6">
      <c r="A5" s="38"/>
      <c r="B5" s="38"/>
      <c r="C5" s="38"/>
      <c r="D5" s="38"/>
      <c r="E5" s="38"/>
      <c r="F5" s="38"/>
    </row>
    <row r="6" spans="1:7" ht="25.35" customHeight="1">
      <c r="A6" s="312" t="s">
        <v>3</v>
      </c>
      <c r="B6" s="312"/>
      <c r="C6" s="312"/>
      <c r="D6" s="312"/>
      <c r="E6" s="312"/>
      <c r="F6" s="312"/>
    </row>
    <row r="7" spans="1:7" ht="50.1" customHeight="1">
      <c r="A7" s="36"/>
      <c r="B7" s="37"/>
      <c r="C7" s="37"/>
      <c r="D7" s="36"/>
      <c r="E7" s="36"/>
      <c r="F7" s="36"/>
    </row>
    <row r="8" spans="1:7" ht="134.1" customHeight="1">
      <c r="A8" s="39">
        <v>1</v>
      </c>
      <c r="B8" s="40" t="s">
        <v>4</v>
      </c>
      <c r="C8" s="37"/>
      <c r="D8" s="311" t="s">
        <v>5</v>
      </c>
      <c r="E8" s="311"/>
      <c r="F8" s="311"/>
      <c r="G8" s="42"/>
    </row>
    <row r="9" spans="1:7" ht="40.35" customHeight="1">
      <c r="A9" s="39">
        <v>2</v>
      </c>
      <c r="B9" s="43" t="s">
        <v>6</v>
      </c>
      <c r="C9" s="43"/>
      <c r="D9" s="312" t="s">
        <v>7</v>
      </c>
      <c r="E9" s="312"/>
      <c r="F9" s="312"/>
      <c r="G9" s="42"/>
    </row>
    <row r="10" spans="1:7" ht="30" customHeight="1">
      <c r="A10" s="39"/>
      <c r="B10" s="43"/>
      <c r="C10" s="43"/>
      <c r="D10" s="311" t="s">
        <v>8</v>
      </c>
      <c r="E10" s="311"/>
      <c r="F10" s="311"/>
      <c r="G10" s="42"/>
    </row>
    <row r="11" spans="1:7" ht="30" customHeight="1">
      <c r="A11" s="39"/>
      <c r="B11" s="43"/>
      <c r="C11" s="43"/>
      <c r="D11" s="311" t="s">
        <v>9</v>
      </c>
      <c r="E11" s="311"/>
      <c r="F11" s="311"/>
      <c r="G11" s="42"/>
    </row>
    <row r="12" spans="1:7" ht="30" customHeight="1">
      <c r="A12" s="39"/>
      <c r="B12" s="43"/>
      <c r="C12" s="43"/>
      <c r="D12" s="311" t="s">
        <v>10</v>
      </c>
      <c r="E12" s="311"/>
      <c r="F12" s="311"/>
      <c r="G12" s="42"/>
    </row>
    <row r="13" spans="1:7" ht="30" customHeight="1">
      <c r="A13" s="39"/>
      <c r="B13" s="43"/>
      <c r="C13" s="43"/>
      <c r="D13" s="311" t="s">
        <v>11</v>
      </c>
      <c r="E13" s="311"/>
      <c r="F13" s="311"/>
    </row>
    <row r="14" spans="1:7" ht="40.35" customHeight="1">
      <c r="A14" s="39">
        <v>3</v>
      </c>
      <c r="B14" s="37" t="s">
        <v>12</v>
      </c>
      <c r="C14" s="37"/>
      <c r="D14" s="311" t="s">
        <v>13</v>
      </c>
      <c r="E14" s="311"/>
      <c r="F14" s="311"/>
    </row>
    <row r="15" spans="1:7" ht="40.35" customHeight="1">
      <c r="A15" s="39">
        <v>4</v>
      </c>
      <c r="B15" s="41" t="s">
        <v>14</v>
      </c>
      <c r="C15" s="37"/>
      <c r="D15" s="311" t="s">
        <v>15</v>
      </c>
      <c r="E15" s="311"/>
      <c r="F15" s="311"/>
    </row>
    <row r="16" spans="1:7" ht="70.349999999999994" customHeight="1">
      <c r="A16" s="44">
        <v>5</v>
      </c>
      <c r="B16" s="312" t="s">
        <v>16</v>
      </c>
      <c r="C16" s="312"/>
      <c r="D16" s="312"/>
      <c r="E16" s="312"/>
      <c r="F16" s="312"/>
    </row>
    <row r="17" spans="1:6" ht="70.349999999999994" customHeight="1">
      <c r="A17" s="44">
        <v>6</v>
      </c>
      <c r="B17" s="312" t="s">
        <v>17</v>
      </c>
      <c r="C17" s="312"/>
      <c r="D17" s="312"/>
      <c r="E17" s="312"/>
      <c r="F17" s="312"/>
    </row>
  </sheetData>
  <mergeCells count="14">
    <mergeCell ref="A2:F2"/>
    <mergeCell ref="A3:F3"/>
    <mergeCell ref="A4:F4"/>
    <mergeCell ref="A6:F6"/>
    <mergeCell ref="D8:F8"/>
    <mergeCell ref="D14:F14"/>
    <mergeCell ref="D15:F15"/>
    <mergeCell ref="B16:F16"/>
    <mergeCell ref="B17:F17"/>
    <mergeCell ref="D9:F9"/>
    <mergeCell ref="D10:F10"/>
    <mergeCell ref="D11:F11"/>
    <mergeCell ref="D12:F12"/>
    <mergeCell ref="D13:F13"/>
  </mergeCells>
  <phoneticPr fontId="32" type="noConversion"/>
  <pageMargins left="0.7" right="0.7" top="0.75" bottom="0.75" header="0.3" footer="0.3"/>
  <pageSetup paperSize="9" scale="75"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D3D0-E46A-4B8A-B47B-98CEF682FA38}">
  <dimension ref="B1:J23"/>
  <sheetViews>
    <sheetView zoomScale="90" zoomScaleNormal="90" workbookViewId="0">
      <selection activeCell="A14" sqref="A14:F20"/>
    </sheetView>
  </sheetViews>
  <sheetFormatPr defaultRowHeight="12"/>
  <cols>
    <col min="2" max="2" width="53" customWidth="1"/>
    <col min="3" max="3" width="16.6640625" customWidth="1"/>
    <col min="4" max="4" width="41.1640625" customWidth="1"/>
    <col min="5" max="5" width="24.33203125" customWidth="1"/>
    <col min="6" max="6" width="44.5" customWidth="1"/>
    <col min="7" max="9" width="17.6640625" bestFit="1" customWidth="1"/>
    <col min="10" max="13" width="15.1640625" customWidth="1"/>
  </cols>
  <sheetData>
    <row r="1" spans="2:10" ht="21">
      <c r="B1" s="315" t="s">
        <v>18</v>
      </c>
      <c r="C1" s="315"/>
      <c r="D1" s="315"/>
      <c r="E1" s="315"/>
    </row>
    <row r="2" spans="2:10">
      <c r="B2" s="242"/>
      <c r="C2" s="242"/>
      <c r="D2" s="242"/>
      <c r="E2" s="242"/>
    </row>
    <row r="3" spans="2:10" ht="14.45">
      <c r="B3" s="273" t="s">
        <v>19</v>
      </c>
      <c r="C3" s="279">
        <v>38351.812814736739</v>
      </c>
      <c r="D3" s="267"/>
      <c r="E3" s="242"/>
    </row>
    <row r="4" spans="2:10" ht="14.45">
      <c r="B4" s="273" t="s">
        <v>20</v>
      </c>
      <c r="C4" s="279">
        <f>C3*0.09290304</f>
        <v>3563</v>
      </c>
      <c r="D4" s="267"/>
      <c r="E4" s="242"/>
    </row>
    <row r="5" spans="2:10">
      <c r="B5" s="242"/>
      <c r="C5" s="267"/>
      <c r="D5" s="267"/>
      <c r="E5" s="242"/>
    </row>
    <row r="7" spans="2:10" ht="12.6" thickBot="1"/>
    <row r="8" spans="2:10" ht="15" thickBot="1">
      <c r="B8" s="268"/>
      <c r="C8" s="269" t="s">
        <v>21</v>
      </c>
      <c r="D8" s="269" t="s">
        <v>22</v>
      </c>
      <c r="E8" s="269" t="s">
        <v>23</v>
      </c>
      <c r="F8" s="269" t="s">
        <v>24</v>
      </c>
      <c r="G8" s="269" t="s">
        <v>25</v>
      </c>
      <c r="H8" s="269" t="s">
        <v>26</v>
      </c>
      <c r="I8" s="270" t="s">
        <v>27</v>
      </c>
      <c r="J8" s="270" t="s">
        <v>28</v>
      </c>
    </row>
    <row r="9" spans="2:10" ht="14.45">
      <c r="B9" s="271" t="s">
        <v>29</v>
      </c>
      <c r="C9" s="291">
        <f>'PER Budget'!B21</f>
        <v>10087575.23</v>
      </c>
      <c r="D9" s="291">
        <f>'QS Estimation'!B21</f>
        <v>10614202.80268297</v>
      </c>
      <c r="E9" s="291">
        <f>'Vendor Quotation'!C41</f>
        <v>10922445.732441209</v>
      </c>
      <c r="F9" s="291">
        <f>'Vendor Quotation'!D41</f>
        <v>11193180.874870673</v>
      </c>
      <c r="G9" s="291">
        <f>'Vendor Quotation'!E41</f>
        <v>10177153.292950075</v>
      </c>
      <c r="H9" s="291">
        <f>'Vendor Quotation'!F41</f>
        <v>11261478.954073869</v>
      </c>
      <c r="I9" s="291">
        <f>'Vendor Quotation'!G41</f>
        <v>11627647.159004072</v>
      </c>
      <c r="J9" s="295"/>
    </row>
    <row r="10" spans="2:10" ht="14.45">
      <c r="B10" s="272" t="s">
        <v>30</v>
      </c>
      <c r="C10" s="292">
        <f t="shared" ref="C10:I10" si="0">IFERROR(C9/$C$4,0)</f>
        <v>2831.2027027785575</v>
      </c>
      <c r="D10" s="292">
        <f t="shared" si="0"/>
        <v>2979.0072418419786</v>
      </c>
      <c r="E10" s="292">
        <f t="shared" si="0"/>
        <v>3065.5194309405583</v>
      </c>
      <c r="F10" s="292">
        <f t="shared" si="0"/>
        <v>3141.5045958098999</v>
      </c>
      <c r="G10" s="292">
        <f t="shared" si="0"/>
        <v>2856.3438936149523</v>
      </c>
      <c r="H10" s="292">
        <f t="shared" si="0"/>
        <v>3160.6732961195253</v>
      </c>
      <c r="I10" s="292">
        <f t="shared" si="0"/>
        <v>3263.4429298355521</v>
      </c>
      <c r="J10" s="292">
        <f>'[39]Historical Unit Rates'!B22</f>
        <v>2499.9999999999968</v>
      </c>
    </row>
    <row r="11" spans="2:10">
      <c r="D11">
        <f>E13</f>
        <v>0</v>
      </c>
      <c r="E11">
        <f>E9/C9</f>
        <v>1.0827622578673159</v>
      </c>
      <c r="F11">
        <f t="shared" ref="F11:I11" si="1">F9/D9</f>
        <v>1.0545474853788692</v>
      </c>
      <c r="G11">
        <f t="shared" si="1"/>
        <v>0.9317650590583838</v>
      </c>
      <c r="H11">
        <f t="shared" si="1"/>
        <v>1.0061017578440574</v>
      </c>
      <c r="I11">
        <f t="shared" si="1"/>
        <v>1.1425245178392649</v>
      </c>
    </row>
    <row r="16" spans="2:10" ht="30.6" customHeight="1"/>
    <row r="20" spans="4:4" ht="23.1" customHeight="1"/>
    <row r="23" spans="4:4">
      <c r="D23" s="297"/>
    </row>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1C7B-4D5B-485F-B100-8DF0001F09EA}">
  <dimension ref="A1:F7"/>
  <sheetViews>
    <sheetView tabSelected="1" workbookViewId="0">
      <selection activeCell="H9" sqref="H9"/>
    </sheetView>
  </sheetViews>
  <sheetFormatPr defaultRowHeight="12"/>
  <cols>
    <col min="2" max="2" width="44.6640625" customWidth="1"/>
    <col min="3" max="3" width="15.6640625" customWidth="1"/>
    <col min="4" max="4" width="32.5" customWidth="1"/>
    <col min="6" max="6" width="34.5" customWidth="1"/>
  </cols>
  <sheetData>
    <row r="1" spans="1:6" ht="13.5" thickBot="1">
      <c r="A1" s="304" t="s">
        <v>31</v>
      </c>
      <c r="B1" s="304"/>
      <c r="C1" s="304"/>
      <c r="D1" s="304"/>
      <c r="E1" s="304"/>
      <c r="F1" s="304"/>
    </row>
    <row r="2" spans="1:6" ht="12.6" thickBot="1">
      <c r="A2" s="307" t="s">
        <v>32</v>
      </c>
      <c r="B2" s="308"/>
      <c r="C2" s="305" t="s">
        <v>33</v>
      </c>
      <c r="D2" s="306"/>
      <c r="E2" s="305" t="s">
        <v>34</v>
      </c>
      <c r="F2" s="306"/>
    </row>
    <row r="3" spans="1:6">
      <c r="A3" s="302" t="s">
        <v>35</v>
      </c>
      <c r="B3" s="309"/>
      <c r="C3" s="302" t="s">
        <v>36</v>
      </c>
      <c r="D3" s="309"/>
      <c r="E3" s="302" t="s">
        <v>37</v>
      </c>
      <c r="F3" s="303"/>
    </row>
    <row r="4" spans="1:6" ht="19.5" customHeight="1">
      <c r="A4" s="310" t="s">
        <v>38</v>
      </c>
      <c r="B4" s="296" t="s">
        <v>39</v>
      </c>
      <c r="C4" s="299" t="e" vm="1">
        <v>#VALUE!</v>
      </c>
      <c r="D4" s="296" t="s">
        <v>40</v>
      </c>
      <c r="E4" s="299" t="e" vm="1">
        <v>#VALUE!</v>
      </c>
      <c r="F4" s="296" t="s">
        <v>40</v>
      </c>
    </row>
    <row r="5" spans="1:6" ht="19.5" customHeight="1">
      <c r="A5" s="310"/>
      <c r="B5" s="298" t="s">
        <v>41</v>
      </c>
      <c r="C5" s="299"/>
      <c r="D5" s="296" t="s">
        <v>42</v>
      </c>
      <c r="E5" s="299"/>
      <c r="F5" s="296" t="s">
        <v>42</v>
      </c>
    </row>
    <row r="6" spans="1:6" ht="19.5" customHeight="1">
      <c r="A6" s="310"/>
      <c r="B6" s="296" t="s">
        <v>43</v>
      </c>
      <c r="C6" s="299"/>
      <c r="D6" s="296" t="s">
        <v>44</v>
      </c>
      <c r="E6" s="299"/>
      <c r="F6" s="296" t="s">
        <v>44</v>
      </c>
    </row>
    <row r="7" spans="1:6">
      <c r="B7" s="300"/>
      <c r="C7" s="301"/>
    </row>
  </sheetData>
  <mergeCells count="11">
    <mergeCell ref="C4:C6"/>
    <mergeCell ref="B7:C7"/>
    <mergeCell ref="E3:F3"/>
    <mergeCell ref="A1:F1"/>
    <mergeCell ref="E2:F2"/>
    <mergeCell ref="E4:E6"/>
    <mergeCell ref="A2:B2"/>
    <mergeCell ref="A3:B3"/>
    <mergeCell ref="A4:A6"/>
    <mergeCell ref="C2:D2"/>
    <mergeCell ref="C3:D3"/>
  </mergeCells>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33"/>
  <sheetViews>
    <sheetView view="pageBreakPreview" zoomScaleNormal="100" workbookViewId="0">
      <selection activeCell="F14" sqref="F14"/>
    </sheetView>
  </sheetViews>
  <sheetFormatPr defaultColWidth="11.5" defaultRowHeight="12.95"/>
  <cols>
    <col min="1" max="1" width="6.5" style="32" customWidth="1"/>
    <col min="2" max="2" width="119.33203125" style="33" customWidth="1"/>
    <col min="3" max="16384" width="11.5" style="33"/>
  </cols>
  <sheetData>
    <row r="1" spans="1:2" ht="50.25" customHeight="1">
      <c r="A1" s="316" t="s">
        <v>45</v>
      </c>
      <c r="B1" s="316"/>
    </row>
    <row r="2" spans="1:2" ht="20.25" customHeight="1"/>
    <row r="3" spans="1:2" s="31" customFormat="1" ht="20.25" customHeight="1">
      <c r="A3" s="31" t="s">
        <v>46</v>
      </c>
    </row>
    <row r="4" spans="1:2" ht="20.25" customHeight="1"/>
    <row r="5" spans="1:2">
      <c r="A5" s="32">
        <v>1</v>
      </c>
      <c r="B5" s="34" t="s">
        <v>47</v>
      </c>
    </row>
    <row r="6" spans="1:2">
      <c r="B6" s="34" t="s">
        <v>48</v>
      </c>
    </row>
    <row r="7" spans="1:2">
      <c r="B7" s="34"/>
    </row>
    <row r="8" spans="1:2" ht="26.1">
      <c r="A8" s="32">
        <v>2</v>
      </c>
      <c r="B8" s="34" t="s">
        <v>49</v>
      </c>
    </row>
    <row r="9" spans="1:2" ht="26.1">
      <c r="B9" s="34" t="s">
        <v>50</v>
      </c>
    </row>
    <row r="10" spans="1:2">
      <c r="B10" s="34"/>
    </row>
    <row r="11" spans="1:2" ht="39">
      <c r="A11" s="32">
        <v>3</v>
      </c>
      <c r="B11" s="34" t="s">
        <v>51</v>
      </c>
    </row>
    <row r="12" spans="1:2" ht="26.1">
      <c r="B12" s="34" t="s">
        <v>52</v>
      </c>
    </row>
    <row r="13" spans="1:2">
      <c r="B13" s="34"/>
    </row>
    <row r="14" spans="1:2" ht="26.1">
      <c r="A14" s="32">
        <v>4</v>
      </c>
      <c r="B14" s="34" t="s">
        <v>53</v>
      </c>
    </row>
    <row r="15" spans="1:2" ht="26.1">
      <c r="B15" s="34" t="s">
        <v>54</v>
      </c>
    </row>
    <row r="16" spans="1:2">
      <c r="B16" s="34"/>
    </row>
    <row r="17" spans="1:2" ht="26.1">
      <c r="A17" s="32">
        <v>5</v>
      </c>
      <c r="B17" s="34" t="s">
        <v>55</v>
      </c>
    </row>
    <row r="18" spans="1:2">
      <c r="B18" s="34" t="s">
        <v>56</v>
      </c>
    </row>
    <row r="19" spans="1:2">
      <c r="B19" s="34"/>
    </row>
    <row r="20" spans="1:2" ht="39">
      <c r="A20" s="32">
        <v>6</v>
      </c>
      <c r="B20" s="34" t="s">
        <v>57</v>
      </c>
    </row>
    <row r="21" spans="1:2" ht="26.1">
      <c r="B21" s="34" t="s">
        <v>58</v>
      </c>
    </row>
    <row r="22" spans="1:2">
      <c r="B22" s="34"/>
    </row>
    <row r="23" spans="1:2" ht="42.75" customHeight="1">
      <c r="A23" s="32">
        <v>7</v>
      </c>
      <c r="B23" s="34" t="s">
        <v>59</v>
      </c>
    </row>
    <row r="24" spans="1:2" ht="26.1">
      <c r="B24" s="34" t="s">
        <v>60</v>
      </c>
    </row>
    <row r="25" spans="1:2">
      <c r="B25" s="34"/>
    </row>
    <row r="26" spans="1:2" ht="39">
      <c r="A26" s="32">
        <v>8</v>
      </c>
      <c r="B26" s="34" t="s">
        <v>61</v>
      </c>
    </row>
    <row r="27" spans="1:2" ht="39">
      <c r="B27" s="34" t="s">
        <v>62</v>
      </c>
    </row>
    <row r="28" spans="1:2">
      <c r="B28" s="34"/>
    </row>
    <row r="29" spans="1:2" ht="51.95">
      <c r="A29" s="32">
        <v>9</v>
      </c>
      <c r="B29" s="34" t="s">
        <v>63</v>
      </c>
    </row>
    <row r="30" spans="1:2" ht="39">
      <c r="B30" s="34" t="s">
        <v>64</v>
      </c>
    </row>
    <row r="31" spans="1:2">
      <c r="B31" s="34"/>
    </row>
    <row r="32" spans="1:2" ht="26.1">
      <c r="A32" s="32">
        <v>10</v>
      </c>
      <c r="B32" s="34" t="s">
        <v>65</v>
      </c>
    </row>
    <row r="33" spans="2:2" ht="26.1">
      <c r="B33" s="34" t="s">
        <v>66</v>
      </c>
    </row>
  </sheetData>
  <mergeCells count="1">
    <mergeCell ref="A1:B1"/>
  </mergeCells>
  <phoneticPr fontId="32" type="noConversion"/>
  <pageMargins left="0.70069444444444495" right="0.70069444444444495" top="0.75138888888888899" bottom="0.75138888888888899" header="0.29861111111111099" footer="0.29861111111111099"/>
  <pageSetup paperSize="9" scale="81"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488"/>
  <sheetViews>
    <sheetView view="pageBreakPreview" topLeftCell="A17" zoomScaleNormal="100" workbookViewId="0">
      <selection activeCell="G12" sqref="G12"/>
    </sheetView>
  </sheetViews>
  <sheetFormatPr defaultColWidth="11.5" defaultRowHeight="12.95"/>
  <cols>
    <col min="1" max="1" width="2" style="9" customWidth="1"/>
    <col min="2" max="2" width="2" style="10" customWidth="1"/>
    <col min="3" max="3" width="2" style="11" customWidth="1"/>
    <col min="4" max="4" width="145.5" style="12" customWidth="1"/>
    <col min="5" max="16384" width="11.5" style="13"/>
  </cols>
  <sheetData>
    <row r="1" spans="1:4" ht="37.700000000000003" customHeight="1">
      <c r="A1" s="317" t="s">
        <v>67</v>
      </c>
      <c r="B1" s="317"/>
      <c r="C1" s="317"/>
      <c r="D1" s="317"/>
    </row>
    <row r="2" spans="1:4">
      <c r="A2" s="14"/>
      <c r="B2" s="15"/>
      <c r="C2" s="16"/>
      <c r="D2" s="17"/>
    </row>
    <row r="3" spans="1:4">
      <c r="A3" s="18" t="s">
        <v>68</v>
      </c>
      <c r="D3" s="19"/>
    </row>
    <row r="4" spans="1:4">
      <c r="A4" s="18"/>
      <c r="D4" s="19"/>
    </row>
    <row r="5" spans="1:4">
      <c r="A5" s="18"/>
      <c r="B5" s="10" t="s">
        <v>69</v>
      </c>
      <c r="D5" s="19"/>
    </row>
    <row r="6" spans="1:4">
      <c r="A6" s="18"/>
      <c r="D6" s="19"/>
    </row>
    <row r="7" spans="1:4">
      <c r="A7" s="18"/>
      <c r="C7" s="11" t="s">
        <v>70</v>
      </c>
      <c r="D7" s="19"/>
    </row>
    <row r="8" spans="1:4" ht="143.1">
      <c r="A8" s="18"/>
      <c r="D8" s="19" t="s">
        <v>71</v>
      </c>
    </row>
    <row r="9" spans="1:4">
      <c r="A9" s="18"/>
      <c r="D9" s="19"/>
    </row>
    <row r="10" spans="1:4">
      <c r="A10" s="18"/>
      <c r="C10" s="11" t="s">
        <v>72</v>
      </c>
      <c r="D10" s="19"/>
    </row>
    <row r="11" spans="1:4" ht="26.1">
      <c r="A11" s="18"/>
      <c r="D11" s="19" t="s">
        <v>73</v>
      </c>
    </row>
    <row r="12" spans="1:4" ht="26.1">
      <c r="A12" s="18"/>
      <c r="D12" s="20" t="s">
        <v>74</v>
      </c>
    </row>
    <row r="13" spans="1:4" ht="26.1">
      <c r="A13" s="18"/>
      <c r="D13" s="20" t="s">
        <v>75</v>
      </c>
    </row>
    <row r="14" spans="1:4" ht="26.1">
      <c r="A14" s="18"/>
      <c r="D14" s="20" t="s">
        <v>76</v>
      </c>
    </row>
    <row r="15" spans="1:4" ht="26.1">
      <c r="A15" s="18"/>
      <c r="D15" s="20" t="s">
        <v>77</v>
      </c>
    </row>
    <row r="16" spans="1:4" ht="26.1">
      <c r="A16" s="18"/>
      <c r="D16" s="20" t="s">
        <v>78</v>
      </c>
    </row>
    <row r="17" spans="1:4">
      <c r="A17" s="18"/>
      <c r="D17" s="20"/>
    </row>
    <row r="18" spans="1:4">
      <c r="A18" s="18"/>
      <c r="C18" s="11" t="s">
        <v>79</v>
      </c>
      <c r="D18" s="19"/>
    </row>
    <row r="19" spans="1:4" ht="39">
      <c r="A19" s="18"/>
      <c r="D19" s="19" t="s">
        <v>80</v>
      </c>
    </row>
    <row r="20" spans="1:4" ht="26.1">
      <c r="A20" s="18"/>
      <c r="D20" s="19" t="s">
        <v>81</v>
      </c>
    </row>
    <row r="21" spans="1:4">
      <c r="A21" s="18"/>
      <c r="D21" s="19"/>
    </row>
    <row r="22" spans="1:4">
      <c r="A22" s="18"/>
      <c r="C22" s="11" t="s">
        <v>82</v>
      </c>
      <c r="D22" s="19"/>
    </row>
    <row r="23" spans="1:4" ht="39">
      <c r="A23" s="18"/>
      <c r="D23" s="21" t="s">
        <v>83</v>
      </c>
    </row>
    <row r="24" spans="1:4">
      <c r="A24" s="18"/>
      <c r="D24" s="19"/>
    </row>
    <row r="25" spans="1:4">
      <c r="A25" s="18"/>
      <c r="C25" s="11" t="s">
        <v>84</v>
      </c>
      <c r="D25" s="19"/>
    </row>
    <row r="26" spans="1:4">
      <c r="A26" s="18"/>
      <c r="D26" s="19" t="s">
        <v>85</v>
      </c>
    </row>
    <row r="27" spans="1:4">
      <c r="A27" s="18"/>
      <c r="D27" s="19" t="s">
        <v>86</v>
      </c>
    </row>
    <row r="28" spans="1:4" ht="26.1">
      <c r="A28" s="18"/>
      <c r="D28" s="19" t="s">
        <v>87</v>
      </c>
    </row>
    <row r="29" spans="1:4">
      <c r="A29" s="18"/>
      <c r="D29" s="19" t="s">
        <v>88</v>
      </c>
    </row>
    <row r="30" spans="1:4">
      <c r="A30" s="18"/>
      <c r="D30" s="19" t="s">
        <v>89</v>
      </c>
    </row>
    <row r="31" spans="1:4">
      <c r="A31" s="18"/>
      <c r="D31" s="19" t="s">
        <v>90</v>
      </c>
    </row>
    <row r="32" spans="1:4">
      <c r="A32" s="18"/>
      <c r="D32" s="19" t="s">
        <v>91</v>
      </c>
    </row>
    <row r="33" spans="1:4">
      <c r="A33" s="18"/>
      <c r="D33" s="19" t="s">
        <v>92</v>
      </c>
    </row>
    <row r="34" spans="1:4">
      <c r="A34" s="18"/>
      <c r="D34" s="19" t="s">
        <v>93</v>
      </c>
    </row>
    <row r="35" spans="1:4">
      <c r="A35" s="18"/>
      <c r="D35" s="19" t="s">
        <v>94</v>
      </c>
    </row>
    <row r="36" spans="1:4">
      <c r="A36" s="18"/>
      <c r="D36" s="19" t="s">
        <v>95</v>
      </c>
    </row>
    <row r="37" spans="1:4">
      <c r="A37" s="18"/>
      <c r="D37" s="19" t="s">
        <v>96</v>
      </c>
    </row>
    <row r="38" spans="1:4">
      <c r="A38" s="18"/>
      <c r="D38" s="19" t="s">
        <v>97</v>
      </c>
    </row>
    <row r="39" spans="1:4" ht="26.1">
      <c r="A39" s="18"/>
      <c r="D39" s="19" t="s">
        <v>98</v>
      </c>
    </row>
    <row r="40" spans="1:4">
      <c r="A40" s="18"/>
      <c r="D40" s="20" t="s">
        <v>99</v>
      </c>
    </row>
    <row r="41" spans="1:4">
      <c r="A41" s="18"/>
      <c r="D41" s="19" t="s">
        <v>100</v>
      </c>
    </row>
    <row r="42" spans="1:4">
      <c r="A42" s="18"/>
      <c r="D42" s="20" t="s">
        <v>101</v>
      </c>
    </row>
    <row r="43" spans="1:4">
      <c r="A43" s="18"/>
      <c r="D43" s="20" t="s">
        <v>102</v>
      </c>
    </row>
    <row r="44" spans="1:4">
      <c r="A44" s="18"/>
      <c r="D44" s="20" t="s">
        <v>103</v>
      </c>
    </row>
    <row r="45" spans="1:4">
      <c r="A45" s="18"/>
      <c r="D45" s="20" t="s">
        <v>104</v>
      </c>
    </row>
    <row r="46" spans="1:4">
      <c r="A46" s="18"/>
      <c r="D46" s="20" t="s">
        <v>105</v>
      </c>
    </row>
    <row r="47" spans="1:4">
      <c r="A47" s="18"/>
      <c r="D47" s="20" t="s">
        <v>106</v>
      </c>
    </row>
    <row r="48" spans="1:4">
      <c r="A48" s="18"/>
      <c r="D48" s="20" t="s">
        <v>107</v>
      </c>
    </row>
    <row r="49" spans="1:4">
      <c r="A49" s="18"/>
      <c r="D49" s="20" t="s">
        <v>108</v>
      </c>
    </row>
    <row r="50" spans="1:4">
      <c r="A50" s="18"/>
      <c r="D50" s="20" t="s">
        <v>109</v>
      </c>
    </row>
    <row r="51" spans="1:4">
      <c r="A51" s="18"/>
      <c r="D51" s="20" t="s">
        <v>110</v>
      </c>
    </row>
    <row r="52" spans="1:4">
      <c r="A52" s="18"/>
      <c r="D52" s="20" t="s">
        <v>111</v>
      </c>
    </row>
    <row r="53" spans="1:4">
      <c r="A53" s="18"/>
      <c r="D53" s="20" t="s">
        <v>112</v>
      </c>
    </row>
    <row r="54" spans="1:4">
      <c r="A54" s="18"/>
      <c r="D54" s="20" t="s">
        <v>113</v>
      </c>
    </row>
    <row r="55" spans="1:4">
      <c r="A55" s="18"/>
      <c r="D55" s="20" t="s">
        <v>114</v>
      </c>
    </row>
    <row r="56" spans="1:4">
      <c r="A56" s="18"/>
      <c r="D56" s="20"/>
    </row>
    <row r="57" spans="1:4">
      <c r="A57" s="18"/>
      <c r="C57" s="11" t="s">
        <v>115</v>
      </c>
      <c r="D57" s="20"/>
    </row>
    <row r="58" spans="1:4" ht="78">
      <c r="A58" s="18"/>
      <c r="D58" s="20" t="s">
        <v>116</v>
      </c>
    </row>
    <row r="59" spans="1:4">
      <c r="A59" s="18"/>
      <c r="D59" s="20"/>
    </row>
    <row r="60" spans="1:4">
      <c r="A60" s="18"/>
      <c r="B60" s="10" t="s">
        <v>117</v>
      </c>
      <c r="D60" s="20"/>
    </row>
    <row r="61" spans="1:4">
      <c r="A61" s="18"/>
      <c r="C61" s="11" t="s">
        <v>118</v>
      </c>
      <c r="D61" s="20"/>
    </row>
    <row r="62" spans="1:4" ht="78">
      <c r="A62" s="18"/>
      <c r="D62" s="20" t="s">
        <v>119</v>
      </c>
    </row>
    <row r="63" spans="1:4">
      <c r="A63" s="18"/>
      <c r="D63" s="20"/>
    </row>
    <row r="64" spans="1:4">
      <c r="A64" s="18"/>
      <c r="C64" s="11" t="s">
        <v>120</v>
      </c>
      <c r="D64" s="20"/>
    </row>
    <row r="65" spans="1:4" ht="90.95">
      <c r="A65" s="18"/>
      <c r="D65" s="20" t="s">
        <v>121</v>
      </c>
    </row>
    <row r="66" spans="1:4">
      <c r="A66" s="18"/>
      <c r="D66" s="20"/>
    </row>
    <row r="67" spans="1:4" ht="39">
      <c r="A67" s="18"/>
      <c r="D67" s="20" t="s">
        <v>122</v>
      </c>
    </row>
    <row r="68" spans="1:4">
      <c r="A68" s="18"/>
      <c r="D68" s="20"/>
    </row>
    <row r="69" spans="1:4">
      <c r="A69" s="18"/>
      <c r="C69" s="11" t="s">
        <v>123</v>
      </c>
      <c r="D69" s="20"/>
    </row>
    <row r="70" spans="1:4" ht="51.95">
      <c r="A70" s="18"/>
      <c r="D70" s="20" t="s">
        <v>124</v>
      </c>
    </row>
    <row r="71" spans="1:4">
      <c r="A71" s="18"/>
      <c r="D71" s="20"/>
    </row>
    <row r="72" spans="1:4">
      <c r="A72" s="18" t="s">
        <v>125</v>
      </c>
      <c r="D72" s="20"/>
    </row>
    <row r="73" spans="1:4">
      <c r="A73" s="18"/>
      <c r="B73" s="10" t="s">
        <v>126</v>
      </c>
      <c r="D73" s="20"/>
    </row>
    <row r="74" spans="1:4">
      <c r="A74" s="18"/>
      <c r="D74" s="19" t="s">
        <v>127</v>
      </c>
    </row>
    <row r="75" spans="1:4">
      <c r="A75" s="18"/>
      <c r="D75" s="19" t="s">
        <v>128</v>
      </c>
    </row>
    <row r="76" spans="1:4">
      <c r="A76" s="18"/>
      <c r="D76" s="20" t="s">
        <v>129</v>
      </c>
    </row>
    <row r="77" spans="1:4">
      <c r="A77" s="18"/>
      <c r="D77" s="20" t="s">
        <v>130</v>
      </c>
    </row>
    <row r="78" spans="1:4">
      <c r="A78" s="18"/>
      <c r="D78" s="20"/>
    </row>
    <row r="79" spans="1:4">
      <c r="A79" s="18"/>
      <c r="B79" s="10" t="s">
        <v>131</v>
      </c>
      <c r="D79" s="20"/>
    </row>
    <row r="80" spans="1:4">
      <c r="A80" s="18"/>
      <c r="C80" s="11" t="s">
        <v>132</v>
      </c>
      <c r="D80" s="20"/>
    </row>
    <row r="81" spans="1:4" ht="78">
      <c r="A81" s="18"/>
      <c r="D81" s="20" t="s">
        <v>133</v>
      </c>
    </row>
    <row r="82" spans="1:4">
      <c r="A82" s="18"/>
      <c r="D82" s="20"/>
    </row>
    <row r="83" spans="1:4">
      <c r="A83" s="18"/>
      <c r="C83" s="11" t="s">
        <v>134</v>
      </c>
      <c r="D83" s="20"/>
    </row>
    <row r="84" spans="1:4" ht="26.1">
      <c r="A84" s="18"/>
      <c r="D84" s="20" t="s">
        <v>135</v>
      </c>
    </row>
    <row r="85" spans="1:4">
      <c r="A85" s="18"/>
      <c r="D85" s="20"/>
    </row>
    <row r="86" spans="1:4">
      <c r="A86" s="18"/>
      <c r="C86" s="11" t="s">
        <v>136</v>
      </c>
      <c r="D86" s="20"/>
    </row>
    <row r="87" spans="1:4" ht="26.1">
      <c r="A87" s="18"/>
      <c r="D87" s="20" t="s">
        <v>137</v>
      </c>
    </row>
    <row r="88" spans="1:4">
      <c r="A88" s="18"/>
      <c r="D88" s="20"/>
    </row>
    <row r="89" spans="1:4">
      <c r="A89" s="18"/>
      <c r="B89" s="10" t="s">
        <v>138</v>
      </c>
      <c r="D89" s="20"/>
    </row>
    <row r="90" spans="1:4">
      <c r="A90" s="18"/>
      <c r="D90" s="20"/>
    </row>
    <row r="91" spans="1:4">
      <c r="A91" s="18"/>
      <c r="C91" s="11" t="s">
        <v>139</v>
      </c>
      <c r="D91" s="20"/>
    </row>
    <row r="92" spans="1:4" ht="104.1">
      <c r="A92" s="18"/>
      <c r="D92" s="20" t="s">
        <v>140</v>
      </c>
    </row>
    <row r="93" spans="1:4">
      <c r="A93" s="18"/>
      <c r="D93" s="20"/>
    </row>
    <row r="94" spans="1:4">
      <c r="A94" s="18"/>
      <c r="C94" s="11" t="s">
        <v>141</v>
      </c>
      <c r="D94" s="20"/>
    </row>
    <row r="95" spans="1:4" ht="39">
      <c r="A95" s="18"/>
      <c r="D95" s="20" t="s">
        <v>142</v>
      </c>
    </row>
    <row r="96" spans="1:4">
      <c r="A96" s="18"/>
      <c r="D96" s="20"/>
    </row>
    <row r="97" spans="1:4">
      <c r="A97" s="18"/>
      <c r="C97" s="11" t="s">
        <v>143</v>
      </c>
      <c r="D97" s="20"/>
    </row>
    <row r="98" spans="1:4" ht="39">
      <c r="A98" s="18"/>
      <c r="D98" s="20" t="s">
        <v>144</v>
      </c>
    </row>
    <row r="99" spans="1:4">
      <c r="A99" s="18"/>
      <c r="D99" s="20"/>
    </row>
    <row r="100" spans="1:4">
      <c r="A100" s="18"/>
      <c r="C100" s="11" t="s">
        <v>145</v>
      </c>
      <c r="D100" s="20"/>
    </row>
    <row r="101" spans="1:4" ht="51.95">
      <c r="A101" s="18"/>
      <c r="D101" s="20" t="s">
        <v>146</v>
      </c>
    </row>
    <row r="102" spans="1:4">
      <c r="A102" s="18"/>
      <c r="D102" s="20"/>
    </row>
    <row r="103" spans="1:4">
      <c r="A103" s="18"/>
      <c r="B103" s="10" t="s">
        <v>147</v>
      </c>
      <c r="D103" s="20"/>
    </row>
    <row r="104" spans="1:4">
      <c r="A104" s="18"/>
      <c r="D104" s="20"/>
    </row>
    <row r="105" spans="1:4">
      <c r="A105" s="18"/>
      <c r="C105" s="11" t="s">
        <v>148</v>
      </c>
      <c r="D105" s="20"/>
    </row>
    <row r="106" spans="1:4" ht="51.95">
      <c r="A106" s="18"/>
      <c r="D106" s="20" t="s">
        <v>149</v>
      </c>
    </row>
    <row r="107" spans="1:4">
      <c r="A107" s="18"/>
      <c r="D107" s="20"/>
    </row>
    <row r="108" spans="1:4">
      <c r="A108" s="18"/>
      <c r="C108" s="11" t="s">
        <v>150</v>
      </c>
      <c r="D108" s="20"/>
    </row>
    <row r="109" spans="1:4" ht="26.1">
      <c r="A109" s="18"/>
      <c r="D109" s="20" t="s">
        <v>151</v>
      </c>
    </row>
    <row r="110" spans="1:4">
      <c r="A110" s="18"/>
      <c r="D110" s="20"/>
    </row>
    <row r="111" spans="1:4">
      <c r="A111" s="18"/>
      <c r="C111" s="11" t="s">
        <v>152</v>
      </c>
      <c r="D111" s="20"/>
    </row>
    <row r="112" spans="1:4" ht="26.1">
      <c r="A112" s="18"/>
      <c r="D112" s="20" t="s">
        <v>153</v>
      </c>
    </row>
    <row r="113" spans="1:4">
      <c r="A113" s="18"/>
      <c r="D113" s="20"/>
    </row>
    <row r="114" spans="1:4">
      <c r="A114" s="18"/>
      <c r="C114" s="11" t="s">
        <v>154</v>
      </c>
      <c r="D114" s="20"/>
    </row>
    <row r="115" spans="1:4" ht="26.1">
      <c r="A115" s="18"/>
      <c r="D115" s="20" t="s">
        <v>155</v>
      </c>
    </row>
    <row r="116" spans="1:4">
      <c r="A116" s="18"/>
      <c r="D116" s="19" t="s">
        <v>156</v>
      </c>
    </row>
    <row r="117" spans="1:4">
      <c r="A117" s="18"/>
      <c r="D117" s="19" t="s">
        <v>157</v>
      </c>
    </row>
    <row r="118" spans="1:4">
      <c r="A118" s="18"/>
      <c r="D118" s="19" t="s">
        <v>158</v>
      </c>
    </row>
    <row r="119" spans="1:4">
      <c r="A119" s="18"/>
      <c r="D119" s="19" t="s">
        <v>159</v>
      </c>
    </row>
    <row r="120" spans="1:4" ht="26.1">
      <c r="A120" s="18"/>
      <c r="D120" s="19" t="s">
        <v>160</v>
      </c>
    </row>
    <row r="121" spans="1:4">
      <c r="A121" s="18"/>
      <c r="D121" s="20" t="s">
        <v>161</v>
      </c>
    </row>
    <row r="122" spans="1:4">
      <c r="A122" s="18"/>
      <c r="D122" s="20" t="s">
        <v>162</v>
      </c>
    </row>
    <row r="123" spans="1:4">
      <c r="A123" s="18"/>
      <c r="D123" s="20" t="s">
        <v>163</v>
      </c>
    </row>
    <row r="124" spans="1:4">
      <c r="A124" s="18"/>
      <c r="D124" s="20" t="s">
        <v>164</v>
      </c>
    </row>
    <row r="125" spans="1:4">
      <c r="A125" s="18"/>
      <c r="D125" s="20" t="s">
        <v>165</v>
      </c>
    </row>
    <row r="126" spans="1:4">
      <c r="A126" s="18"/>
      <c r="D126" s="20"/>
    </row>
    <row r="127" spans="1:4">
      <c r="A127" s="18"/>
      <c r="B127" s="22" t="s">
        <v>166</v>
      </c>
      <c r="C127" s="22"/>
      <c r="D127" s="20"/>
    </row>
    <row r="128" spans="1:4">
      <c r="A128" s="18"/>
      <c r="D128" s="20"/>
    </row>
    <row r="129" spans="1:4">
      <c r="A129" s="18"/>
      <c r="C129" s="11" t="s">
        <v>167</v>
      </c>
      <c r="D129" s="20"/>
    </row>
    <row r="130" spans="1:4" ht="26.1">
      <c r="A130" s="18"/>
      <c r="D130" s="20" t="s">
        <v>168</v>
      </c>
    </row>
    <row r="131" spans="1:4">
      <c r="A131" s="18"/>
      <c r="D131" s="20"/>
    </row>
    <row r="132" spans="1:4">
      <c r="A132" s="18"/>
      <c r="C132" s="23" t="s">
        <v>169</v>
      </c>
      <c r="D132" s="20"/>
    </row>
    <row r="133" spans="1:4" ht="26.1">
      <c r="A133" s="18"/>
      <c r="D133" s="20" t="s">
        <v>170</v>
      </c>
    </row>
    <row r="134" spans="1:4">
      <c r="A134" s="18"/>
      <c r="D134" s="20"/>
    </row>
    <row r="135" spans="1:4">
      <c r="A135" s="18"/>
      <c r="C135" s="11" t="s">
        <v>171</v>
      </c>
      <c r="D135" s="20"/>
    </row>
    <row r="136" spans="1:4">
      <c r="A136" s="18"/>
      <c r="D136" s="20" t="s">
        <v>172</v>
      </c>
    </row>
    <row r="137" spans="1:4">
      <c r="A137" s="18"/>
      <c r="D137" s="19" t="s">
        <v>173</v>
      </c>
    </row>
    <row r="138" spans="1:4">
      <c r="A138" s="18"/>
      <c r="D138" s="19" t="s">
        <v>174</v>
      </c>
    </row>
    <row r="139" spans="1:4" ht="26.1">
      <c r="A139" s="18"/>
      <c r="D139" s="19" t="s">
        <v>175</v>
      </c>
    </row>
    <row r="140" spans="1:4">
      <c r="A140" s="18"/>
      <c r="D140" s="19" t="s">
        <v>176</v>
      </c>
    </row>
    <row r="141" spans="1:4">
      <c r="A141" s="18"/>
      <c r="D141" s="19" t="s">
        <v>177</v>
      </c>
    </row>
    <row r="142" spans="1:4">
      <c r="A142" s="18"/>
      <c r="D142" s="19" t="s">
        <v>178</v>
      </c>
    </row>
    <row r="143" spans="1:4" ht="26.1">
      <c r="A143" s="18"/>
      <c r="D143" s="19" t="s">
        <v>179</v>
      </c>
    </row>
    <row r="144" spans="1:4">
      <c r="A144" s="18"/>
      <c r="D144" s="19" t="s">
        <v>180</v>
      </c>
    </row>
    <row r="145" spans="1:4">
      <c r="A145" s="18"/>
      <c r="D145" s="19" t="s">
        <v>181</v>
      </c>
    </row>
    <row r="146" spans="1:4">
      <c r="A146" s="18"/>
      <c r="D146" s="19" t="s">
        <v>182</v>
      </c>
    </row>
    <row r="147" spans="1:4">
      <c r="A147" s="18"/>
      <c r="D147" s="19" t="s">
        <v>183</v>
      </c>
    </row>
    <row r="148" spans="1:4">
      <c r="A148" s="18"/>
      <c r="D148" s="20" t="s">
        <v>184</v>
      </c>
    </row>
    <row r="149" spans="1:4">
      <c r="A149" s="18"/>
      <c r="D149" s="20" t="s">
        <v>185</v>
      </c>
    </row>
    <row r="150" spans="1:4">
      <c r="A150" s="18"/>
      <c r="D150" s="20" t="s">
        <v>186</v>
      </c>
    </row>
    <row r="151" spans="1:4">
      <c r="A151" s="18"/>
      <c r="D151" s="20" t="s">
        <v>187</v>
      </c>
    </row>
    <row r="152" spans="1:4">
      <c r="A152" s="18"/>
      <c r="D152" s="20" t="s">
        <v>188</v>
      </c>
    </row>
    <row r="153" spans="1:4">
      <c r="A153" s="18"/>
      <c r="D153" s="20" t="s">
        <v>189</v>
      </c>
    </row>
    <row r="154" spans="1:4">
      <c r="A154" s="18"/>
      <c r="D154" s="20" t="s">
        <v>190</v>
      </c>
    </row>
    <row r="155" spans="1:4">
      <c r="A155" s="18"/>
      <c r="D155" s="20" t="s">
        <v>191</v>
      </c>
    </row>
    <row r="156" spans="1:4">
      <c r="A156" s="18"/>
      <c r="D156" s="20" t="s">
        <v>192</v>
      </c>
    </row>
    <row r="157" spans="1:4">
      <c r="A157" s="18"/>
      <c r="D157" s="20" t="s">
        <v>193</v>
      </c>
    </row>
    <row r="158" spans="1:4">
      <c r="A158" s="18"/>
      <c r="D158" s="20" t="s">
        <v>194</v>
      </c>
    </row>
    <row r="159" spans="1:4">
      <c r="A159" s="18"/>
      <c r="D159" s="20"/>
    </row>
    <row r="160" spans="1:4">
      <c r="A160" s="18" t="s">
        <v>195</v>
      </c>
      <c r="D160" s="20"/>
    </row>
    <row r="161" spans="1:4">
      <c r="A161" s="18"/>
      <c r="B161" s="10" t="s">
        <v>196</v>
      </c>
      <c r="D161" s="20"/>
    </row>
    <row r="162" spans="1:4">
      <c r="A162" s="18"/>
      <c r="C162" s="11" t="s">
        <v>197</v>
      </c>
      <c r="D162" s="20"/>
    </row>
    <row r="163" spans="1:4">
      <c r="A163" s="18"/>
      <c r="D163" s="19" t="s">
        <v>198</v>
      </c>
    </row>
    <row r="164" spans="1:4">
      <c r="A164" s="18"/>
      <c r="D164" s="19" t="s">
        <v>199</v>
      </c>
    </row>
    <row r="165" spans="1:4" ht="26.1">
      <c r="A165" s="18"/>
      <c r="D165" s="19" t="s">
        <v>200</v>
      </c>
    </row>
    <row r="166" spans="1:4" ht="26.1">
      <c r="A166" s="18"/>
      <c r="D166" s="19" t="s">
        <v>201</v>
      </c>
    </row>
    <row r="167" spans="1:4" ht="26.1">
      <c r="A167" s="18"/>
      <c r="D167" s="19" t="s">
        <v>202</v>
      </c>
    </row>
    <row r="168" spans="1:4" ht="26.1">
      <c r="A168" s="18"/>
      <c r="D168" s="19" t="s">
        <v>203</v>
      </c>
    </row>
    <row r="169" spans="1:4">
      <c r="A169" s="18"/>
      <c r="D169" s="20" t="s">
        <v>204</v>
      </c>
    </row>
    <row r="170" spans="1:4">
      <c r="A170" s="18"/>
      <c r="D170" s="20" t="s">
        <v>205</v>
      </c>
    </row>
    <row r="171" spans="1:4">
      <c r="A171" s="18"/>
      <c r="D171" s="20" t="s">
        <v>206</v>
      </c>
    </row>
    <row r="172" spans="1:4">
      <c r="A172" s="18"/>
      <c r="D172" s="24" t="s">
        <v>207</v>
      </c>
    </row>
    <row r="173" spans="1:4" ht="12.75" customHeight="1">
      <c r="A173" s="18"/>
      <c r="D173" s="20" t="s">
        <v>208</v>
      </c>
    </row>
    <row r="174" spans="1:4">
      <c r="A174" s="18"/>
      <c r="D174" s="20" t="s">
        <v>209</v>
      </c>
    </row>
    <row r="175" spans="1:4">
      <c r="A175" s="18"/>
      <c r="D175" s="20"/>
    </row>
    <row r="176" spans="1:4">
      <c r="A176" s="18"/>
      <c r="C176" s="11" t="s">
        <v>210</v>
      </c>
      <c r="D176" s="20"/>
    </row>
    <row r="177" spans="1:4">
      <c r="A177" s="18"/>
      <c r="D177" s="19" t="s">
        <v>211</v>
      </c>
    </row>
    <row r="178" spans="1:4">
      <c r="A178" s="18"/>
      <c r="D178" s="19" t="s">
        <v>212</v>
      </c>
    </row>
    <row r="179" spans="1:4" ht="39">
      <c r="A179" s="18"/>
      <c r="D179" s="19" t="s">
        <v>213</v>
      </c>
    </row>
    <row r="180" spans="1:4">
      <c r="A180" s="18"/>
      <c r="D180" s="19" t="s">
        <v>214</v>
      </c>
    </row>
    <row r="181" spans="1:4">
      <c r="A181" s="18"/>
      <c r="D181" s="20" t="s">
        <v>215</v>
      </c>
    </row>
    <row r="182" spans="1:4">
      <c r="A182" s="18"/>
      <c r="D182" s="20" t="s">
        <v>216</v>
      </c>
    </row>
    <row r="183" spans="1:4" ht="26.1">
      <c r="A183" s="18"/>
      <c r="D183" s="20" t="s">
        <v>217</v>
      </c>
    </row>
    <row r="184" spans="1:4">
      <c r="A184" s="18"/>
      <c r="D184" s="20" t="s">
        <v>218</v>
      </c>
    </row>
    <row r="185" spans="1:4">
      <c r="A185" s="18"/>
      <c r="D185" s="20"/>
    </row>
    <row r="186" spans="1:4">
      <c r="A186" s="18"/>
      <c r="B186" s="10" t="s">
        <v>219</v>
      </c>
      <c r="D186" s="20"/>
    </row>
    <row r="187" spans="1:4">
      <c r="A187" s="18"/>
      <c r="C187" s="11" t="s">
        <v>220</v>
      </c>
      <c r="D187" s="20"/>
    </row>
    <row r="188" spans="1:4" ht="26.1">
      <c r="A188" s="18"/>
      <c r="D188" s="20" t="s">
        <v>221</v>
      </c>
    </row>
    <row r="189" spans="1:4">
      <c r="A189" s="18"/>
      <c r="D189" s="20"/>
    </row>
    <row r="190" spans="1:4">
      <c r="A190" s="18"/>
      <c r="C190" s="11" t="s">
        <v>222</v>
      </c>
      <c r="D190" s="20"/>
    </row>
    <row r="191" spans="1:4" ht="65.099999999999994">
      <c r="A191" s="18"/>
      <c r="D191" s="20" t="s">
        <v>223</v>
      </c>
    </row>
    <row r="192" spans="1:4">
      <c r="A192" s="18"/>
      <c r="D192" s="20"/>
    </row>
    <row r="193" spans="1:4">
      <c r="A193" s="18"/>
      <c r="C193" s="11" t="s">
        <v>224</v>
      </c>
      <c r="D193" s="20"/>
    </row>
    <row r="194" spans="1:4">
      <c r="A194" s="18"/>
      <c r="D194" s="20"/>
    </row>
    <row r="195" spans="1:4" ht="104.1">
      <c r="A195" s="18"/>
      <c r="D195" s="20" t="s">
        <v>225</v>
      </c>
    </row>
    <row r="196" spans="1:4" ht="5.25" customHeight="1">
      <c r="A196" s="18"/>
      <c r="D196" s="20"/>
    </row>
    <row r="197" spans="1:4">
      <c r="A197" s="18"/>
      <c r="C197" s="11" t="s">
        <v>226</v>
      </c>
      <c r="D197" s="20"/>
    </row>
    <row r="198" spans="1:4">
      <c r="A198" s="18"/>
      <c r="D198" s="20"/>
    </row>
    <row r="199" spans="1:4" ht="65.099999999999994">
      <c r="A199" s="18"/>
      <c r="D199" s="20" t="s">
        <v>227</v>
      </c>
    </row>
    <row r="200" spans="1:4">
      <c r="A200" s="18"/>
      <c r="D200" s="20"/>
    </row>
    <row r="201" spans="1:4">
      <c r="A201" s="18"/>
      <c r="C201" s="11" t="s">
        <v>228</v>
      </c>
      <c r="D201" s="20"/>
    </row>
    <row r="202" spans="1:4">
      <c r="A202" s="18"/>
      <c r="D202" s="20"/>
    </row>
    <row r="203" spans="1:4" ht="129.94999999999999">
      <c r="A203" s="18"/>
      <c r="D203" s="20" t="s">
        <v>229</v>
      </c>
    </row>
    <row r="204" spans="1:4">
      <c r="A204" s="18"/>
      <c r="D204" s="20"/>
    </row>
    <row r="205" spans="1:4">
      <c r="A205" s="18" t="s">
        <v>230</v>
      </c>
      <c r="D205" s="20"/>
    </row>
    <row r="206" spans="1:4">
      <c r="A206" s="18"/>
      <c r="B206" s="10" t="s">
        <v>231</v>
      </c>
      <c r="D206" s="20"/>
    </row>
    <row r="207" spans="1:4">
      <c r="A207" s="18"/>
      <c r="C207" s="11" t="s">
        <v>232</v>
      </c>
      <c r="D207" s="20"/>
    </row>
    <row r="208" spans="1:4" ht="36.950000000000003" customHeight="1">
      <c r="A208" s="18"/>
      <c r="D208" s="20" t="s">
        <v>233</v>
      </c>
    </row>
    <row r="209" spans="1:4">
      <c r="A209" s="18"/>
      <c r="D209" s="20"/>
    </row>
    <row r="210" spans="1:4">
      <c r="A210" s="18"/>
      <c r="C210" s="11" t="s">
        <v>234</v>
      </c>
      <c r="D210" s="20"/>
    </row>
    <row r="211" spans="1:4" ht="39">
      <c r="A211" s="18"/>
      <c r="D211" s="20" t="s">
        <v>235</v>
      </c>
    </row>
    <row r="212" spans="1:4">
      <c r="A212" s="18"/>
      <c r="D212" s="20"/>
    </row>
    <row r="213" spans="1:4">
      <c r="A213" s="18"/>
      <c r="C213" s="11" t="s">
        <v>236</v>
      </c>
      <c r="D213" s="20"/>
    </row>
    <row r="214" spans="1:4" ht="78">
      <c r="A214" s="18"/>
      <c r="D214" s="20" t="s">
        <v>237</v>
      </c>
    </row>
    <row r="215" spans="1:4">
      <c r="A215" s="18"/>
      <c r="D215" s="20"/>
    </row>
    <row r="216" spans="1:4">
      <c r="A216" s="18"/>
      <c r="C216" s="11" t="s">
        <v>238</v>
      </c>
      <c r="D216" s="20"/>
    </row>
    <row r="217" spans="1:4" ht="26.1">
      <c r="A217" s="18"/>
      <c r="D217" s="20" t="s">
        <v>239</v>
      </c>
    </row>
    <row r="218" spans="1:4">
      <c r="A218" s="18"/>
      <c r="D218" s="20"/>
    </row>
    <row r="219" spans="1:4">
      <c r="A219" s="18"/>
      <c r="C219" s="11" t="s">
        <v>240</v>
      </c>
      <c r="D219" s="20"/>
    </row>
    <row r="220" spans="1:4" ht="26.1">
      <c r="A220" s="18"/>
      <c r="D220" s="20" t="s">
        <v>241</v>
      </c>
    </row>
    <row r="221" spans="1:4">
      <c r="A221" s="18"/>
      <c r="D221" s="20"/>
    </row>
    <row r="222" spans="1:4">
      <c r="A222" s="18"/>
      <c r="C222" s="11" t="s">
        <v>242</v>
      </c>
      <c r="D222" s="20"/>
    </row>
    <row r="223" spans="1:4" ht="39">
      <c r="A223" s="18"/>
      <c r="D223" s="20" t="s">
        <v>243</v>
      </c>
    </row>
    <row r="224" spans="1:4">
      <c r="A224" s="18"/>
      <c r="D224" s="20"/>
    </row>
    <row r="225" spans="1:4">
      <c r="A225" s="18"/>
      <c r="B225" s="10" t="s">
        <v>244</v>
      </c>
      <c r="D225" s="20"/>
    </row>
    <row r="226" spans="1:4">
      <c r="A226" s="18"/>
      <c r="C226" s="11" t="s">
        <v>245</v>
      </c>
      <c r="D226" s="20"/>
    </row>
    <row r="227" spans="1:4" ht="65.099999999999994">
      <c r="A227" s="18"/>
      <c r="D227" s="20" t="s">
        <v>246</v>
      </c>
    </row>
    <row r="228" spans="1:4">
      <c r="A228" s="18"/>
      <c r="D228" s="20"/>
    </row>
    <row r="229" spans="1:4">
      <c r="A229" s="18"/>
      <c r="C229" s="11" t="s">
        <v>247</v>
      </c>
      <c r="D229" s="20"/>
    </row>
    <row r="230" spans="1:4" ht="26.1">
      <c r="A230" s="18"/>
      <c r="D230" s="20" t="s">
        <v>248</v>
      </c>
    </row>
    <row r="231" spans="1:4">
      <c r="A231" s="18"/>
      <c r="D231" s="20"/>
    </row>
    <row r="232" spans="1:4">
      <c r="A232" s="18"/>
      <c r="C232" s="11" t="s">
        <v>249</v>
      </c>
      <c r="D232" s="20"/>
    </row>
    <row r="233" spans="1:4" ht="51.95">
      <c r="A233" s="18"/>
      <c r="D233" s="20" t="s">
        <v>250</v>
      </c>
    </row>
    <row r="234" spans="1:4">
      <c r="A234" s="18"/>
      <c r="D234" s="20"/>
    </row>
    <row r="235" spans="1:4">
      <c r="A235" s="18"/>
      <c r="C235" s="11" t="s">
        <v>251</v>
      </c>
      <c r="D235" s="20"/>
    </row>
    <row r="236" spans="1:4" ht="26.1">
      <c r="A236" s="18"/>
      <c r="D236" s="20" t="s">
        <v>252</v>
      </c>
    </row>
    <row r="237" spans="1:4">
      <c r="A237" s="18"/>
      <c r="D237" s="20"/>
    </row>
    <row r="238" spans="1:4">
      <c r="A238" s="18"/>
      <c r="C238" s="11" t="s">
        <v>253</v>
      </c>
      <c r="D238" s="20"/>
    </row>
    <row r="239" spans="1:4" ht="26.1">
      <c r="A239" s="18"/>
      <c r="D239" s="20" t="s">
        <v>254</v>
      </c>
    </row>
    <row r="240" spans="1:4">
      <c r="A240" s="18"/>
      <c r="D240" s="20"/>
    </row>
    <row r="241" spans="1:4">
      <c r="A241" s="18"/>
      <c r="C241" s="11" t="s">
        <v>255</v>
      </c>
      <c r="D241" s="20"/>
    </row>
    <row r="242" spans="1:4" ht="39">
      <c r="A242" s="18"/>
      <c r="D242" s="20" t="s">
        <v>256</v>
      </c>
    </row>
    <row r="243" spans="1:4">
      <c r="A243" s="18"/>
      <c r="D243" s="20"/>
    </row>
    <row r="244" spans="1:4">
      <c r="A244" s="18"/>
      <c r="C244" s="11" t="s">
        <v>257</v>
      </c>
      <c r="D244" s="20"/>
    </row>
    <row r="245" spans="1:4" ht="26.1">
      <c r="A245" s="18"/>
      <c r="D245" s="20" t="s">
        <v>258</v>
      </c>
    </row>
    <row r="246" spans="1:4">
      <c r="A246" s="18"/>
      <c r="D246" s="20"/>
    </row>
    <row r="247" spans="1:4">
      <c r="A247" s="18"/>
      <c r="C247" s="11" t="s">
        <v>259</v>
      </c>
      <c r="D247" s="20"/>
    </row>
    <row r="248" spans="1:4" ht="26.1">
      <c r="A248" s="18"/>
      <c r="D248" s="20" t="s">
        <v>260</v>
      </c>
    </row>
    <row r="249" spans="1:4">
      <c r="A249" s="18"/>
      <c r="D249" s="20"/>
    </row>
    <row r="250" spans="1:4">
      <c r="A250" s="18"/>
      <c r="B250" s="10" t="s">
        <v>261</v>
      </c>
      <c r="D250" s="20"/>
    </row>
    <row r="251" spans="1:4">
      <c r="A251" s="18"/>
      <c r="C251" s="11" t="s">
        <v>262</v>
      </c>
      <c r="D251" s="20"/>
    </row>
    <row r="252" spans="1:4" ht="104.1">
      <c r="A252" s="18"/>
      <c r="D252" s="20" t="s">
        <v>263</v>
      </c>
    </row>
    <row r="253" spans="1:4">
      <c r="A253" s="18"/>
      <c r="D253" s="20"/>
    </row>
    <row r="254" spans="1:4">
      <c r="A254" s="18"/>
      <c r="C254" s="11" t="s">
        <v>264</v>
      </c>
      <c r="D254" s="20"/>
    </row>
    <row r="255" spans="1:4" ht="26.1">
      <c r="A255" s="18"/>
      <c r="D255" s="20" t="s">
        <v>265</v>
      </c>
    </row>
    <row r="256" spans="1:4">
      <c r="A256" s="18"/>
      <c r="D256" s="20"/>
    </row>
    <row r="257" spans="1:4">
      <c r="A257" s="18"/>
      <c r="C257" s="11" t="s">
        <v>266</v>
      </c>
      <c r="D257" s="20"/>
    </row>
    <row r="258" spans="1:4" ht="65.099999999999994">
      <c r="A258" s="18"/>
      <c r="D258" s="20" t="s">
        <v>267</v>
      </c>
    </row>
    <row r="259" spans="1:4">
      <c r="A259" s="18"/>
      <c r="D259" s="20"/>
    </row>
    <row r="260" spans="1:4">
      <c r="A260" s="18"/>
      <c r="C260" s="11" t="s">
        <v>268</v>
      </c>
      <c r="D260" s="20"/>
    </row>
    <row r="261" spans="1:4" ht="39">
      <c r="A261" s="18"/>
      <c r="D261" s="20" t="s">
        <v>269</v>
      </c>
    </row>
    <row r="262" spans="1:4">
      <c r="A262" s="18"/>
      <c r="D262" s="20"/>
    </row>
    <row r="263" spans="1:4">
      <c r="A263" s="18"/>
      <c r="C263" s="45" t="s">
        <v>270</v>
      </c>
      <c r="D263" s="20"/>
    </row>
    <row r="264" spans="1:4" ht="26.1">
      <c r="A264" s="18"/>
      <c r="D264" s="20" t="s">
        <v>271</v>
      </c>
    </row>
    <row r="265" spans="1:4">
      <c r="A265" s="18"/>
      <c r="D265" s="20"/>
    </row>
    <row r="266" spans="1:4">
      <c r="A266" s="18"/>
      <c r="B266" s="10" t="s">
        <v>272</v>
      </c>
      <c r="D266" s="20"/>
    </row>
    <row r="267" spans="1:4">
      <c r="A267" s="18"/>
      <c r="C267" s="11" t="s">
        <v>273</v>
      </c>
      <c r="D267" s="20"/>
    </row>
    <row r="268" spans="1:4" ht="65.099999999999994">
      <c r="A268" s="18"/>
      <c r="D268" s="20" t="s">
        <v>274</v>
      </c>
    </row>
    <row r="269" spans="1:4">
      <c r="A269" s="18"/>
      <c r="D269" s="20"/>
    </row>
    <row r="270" spans="1:4" ht="65.099999999999994">
      <c r="A270" s="18"/>
      <c r="D270" s="20" t="s">
        <v>275</v>
      </c>
    </row>
    <row r="271" spans="1:4">
      <c r="A271" s="18"/>
      <c r="D271" s="20"/>
    </row>
    <row r="272" spans="1:4">
      <c r="A272" s="18"/>
      <c r="C272" s="11" t="s">
        <v>276</v>
      </c>
      <c r="D272" s="20"/>
    </row>
    <row r="273" spans="1:4" ht="26.1">
      <c r="A273" s="18"/>
      <c r="D273" s="20" t="s">
        <v>277</v>
      </c>
    </row>
    <row r="274" spans="1:4">
      <c r="A274" s="18"/>
      <c r="D274" s="20"/>
    </row>
    <row r="275" spans="1:4">
      <c r="A275" s="18"/>
      <c r="C275" s="11" t="s">
        <v>278</v>
      </c>
      <c r="D275" s="20"/>
    </row>
    <row r="276" spans="1:4" ht="65.099999999999994">
      <c r="A276" s="18"/>
      <c r="D276" s="20" t="s">
        <v>279</v>
      </c>
    </row>
    <row r="277" spans="1:4">
      <c r="A277" s="18"/>
      <c r="D277" s="20"/>
    </row>
    <row r="278" spans="1:4">
      <c r="A278" s="18"/>
      <c r="C278" s="11" t="s">
        <v>280</v>
      </c>
      <c r="D278" s="20"/>
    </row>
    <row r="279" spans="1:4" ht="65.099999999999994">
      <c r="A279" s="18"/>
      <c r="D279" s="20" t="s">
        <v>281</v>
      </c>
    </row>
    <row r="280" spans="1:4">
      <c r="A280" s="18"/>
      <c r="D280" s="20"/>
    </row>
    <row r="281" spans="1:4">
      <c r="A281" s="18"/>
      <c r="C281" s="11" t="s">
        <v>282</v>
      </c>
      <c r="D281" s="20"/>
    </row>
    <row r="282" spans="1:4" ht="29.25" customHeight="1">
      <c r="A282" s="18"/>
      <c r="D282" s="20" t="s">
        <v>283</v>
      </c>
    </row>
    <row r="283" spans="1:4">
      <c r="A283" s="18"/>
      <c r="D283" s="20"/>
    </row>
    <row r="284" spans="1:4" s="8" customFormat="1">
      <c r="A284" s="25" t="s">
        <v>284</v>
      </c>
      <c r="B284" s="22"/>
      <c r="C284" s="23"/>
      <c r="D284" s="24"/>
    </row>
    <row r="285" spans="1:4" s="8" customFormat="1">
      <c r="A285" s="25"/>
      <c r="B285" s="22" t="s">
        <v>285</v>
      </c>
      <c r="C285" s="23"/>
      <c r="D285" s="24"/>
    </row>
    <row r="286" spans="1:4" s="8" customFormat="1">
      <c r="A286" s="25"/>
      <c r="B286" s="22"/>
      <c r="C286" s="23" t="s">
        <v>286</v>
      </c>
      <c r="D286" s="24"/>
    </row>
    <row r="287" spans="1:4" s="8" customFormat="1" ht="51.95">
      <c r="A287" s="25"/>
      <c r="B287" s="22"/>
      <c r="C287" s="23"/>
      <c r="D287" s="24" t="s">
        <v>287</v>
      </c>
    </row>
    <row r="288" spans="1:4" s="8" customFormat="1">
      <c r="A288" s="25"/>
      <c r="B288" s="22"/>
      <c r="C288" s="23"/>
      <c r="D288" s="24"/>
    </row>
    <row r="289" spans="1:4" s="8" customFormat="1">
      <c r="A289" s="25"/>
      <c r="B289" s="22"/>
      <c r="C289" s="23" t="s">
        <v>288</v>
      </c>
      <c r="D289" s="24"/>
    </row>
    <row r="290" spans="1:4" s="8" customFormat="1" ht="65.099999999999994">
      <c r="A290" s="25"/>
      <c r="B290" s="22"/>
      <c r="C290" s="23"/>
      <c r="D290" s="24" t="s">
        <v>289</v>
      </c>
    </row>
    <row r="291" spans="1:4" s="8" customFormat="1">
      <c r="A291" s="25"/>
      <c r="B291" s="22"/>
      <c r="C291" s="23"/>
      <c r="D291" s="24"/>
    </row>
    <row r="292" spans="1:4" s="8" customFormat="1">
      <c r="A292" s="25"/>
      <c r="B292" s="22"/>
      <c r="C292" s="23" t="s">
        <v>290</v>
      </c>
      <c r="D292" s="24"/>
    </row>
    <row r="293" spans="1:4" s="8" customFormat="1" ht="60" customHeight="1">
      <c r="A293" s="25"/>
      <c r="B293" s="22"/>
      <c r="C293" s="23"/>
      <c r="D293" s="24" t="s">
        <v>291</v>
      </c>
    </row>
    <row r="294" spans="1:4" s="8" customFormat="1">
      <c r="A294" s="25"/>
      <c r="B294" s="22"/>
      <c r="C294" s="23"/>
      <c r="D294" s="24"/>
    </row>
    <row r="295" spans="1:4" s="8" customFormat="1">
      <c r="A295" s="25"/>
      <c r="B295" s="22"/>
      <c r="C295" s="23" t="s">
        <v>292</v>
      </c>
      <c r="D295" s="24"/>
    </row>
    <row r="296" spans="1:4" s="8" customFormat="1" ht="78">
      <c r="A296" s="25"/>
      <c r="B296" s="22"/>
      <c r="C296" s="23"/>
      <c r="D296" s="24" t="s">
        <v>293</v>
      </c>
    </row>
    <row r="297" spans="1:4" s="8" customFormat="1">
      <c r="A297" s="25"/>
      <c r="B297" s="22"/>
      <c r="C297" s="23"/>
      <c r="D297" s="24"/>
    </row>
    <row r="298" spans="1:4" s="8" customFormat="1">
      <c r="A298" s="25"/>
      <c r="B298" s="22"/>
      <c r="C298" s="23" t="s">
        <v>294</v>
      </c>
      <c r="D298" s="24"/>
    </row>
    <row r="299" spans="1:4" s="8" customFormat="1" ht="39">
      <c r="A299" s="25"/>
      <c r="B299" s="22"/>
      <c r="C299" s="23"/>
      <c r="D299" s="24" t="s">
        <v>295</v>
      </c>
    </row>
    <row r="300" spans="1:4" s="8" customFormat="1">
      <c r="A300" s="25"/>
      <c r="B300" s="22"/>
      <c r="C300" s="23"/>
      <c r="D300" s="24"/>
    </row>
    <row r="301" spans="1:4" s="8" customFormat="1">
      <c r="A301" s="25"/>
      <c r="B301" s="22"/>
      <c r="C301" s="23" t="s">
        <v>296</v>
      </c>
      <c r="D301" s="24"/>
    </row>
    <row r="302" spans="1:4" s="8" customFormat="1" ht="65.099999999999994">
      <c r="A302" s="25"/>
      <c r="B302" s="22"/>
      <c r="C302" s="23"/>
      <c r="D302" s="24" t="s">
        <v>297</v>
      </c>
    </row>
    <row r="303" spans="1:4" s="8" customFormat="1">
      <c r="A303" s="25"/>
      <c r="B303" s="22"/>
      <c r="C303" s="23"/>
      <c r="D303" s="24"/>
    </row>
    <row r="304" spans="1:4" s="8" customFormat="1">
      <c r="A304" s="25"/>
      <c r="B304" s="22"/>
      <c r="C304" s="23" t="s">
        <v>298</v>
      </c>
      <c r="D304" s="24"/>
    </row>
    <row r="305" spans="1:4" s="8" customFormat="1" ht="65.099999999999994">
      <c r="A305" s="25"/>
      <c r="B305" s="22"/>
      <c r="C305" s="23"/>
      <c r="D305" s="24" t="s">
        <v>299</v>
      </c>
    </row>
    <row r="306" spans="1:4" s="8" customFormat="1">
      <c r="A306" s="25"/>
      <c r="B306" s="22"/>
      <c r="C306" s="23"/>
      <c r="D306" s="24"/>
    </row>
    <row r="307" spans="1:4" s="8" customFormat="1">
      <c r="A307" s="25"/>
      <c r="B307" s="22"/>
      <c r="C307" s="23" t="s">
        <v>300</v>
      </c>
      <c r="D307" s="24"/>
    </row>
    <row r="308" spans="1:4" s="8" customFormat="1">
      <c r="A308" s="25"/>
      <c r="B308" s="22"/>
      <c r="C308" s="23"/>
      <c r="D308" s="24" t="s">
        <v>301</v>
      </c>
    </row>
    <row r="309" spans="1:4" s="8" customFormat="1">
      <c r="A309" s="25"/>
      <c r="B309" s="22"/>
      <c r="C309" s="23"/>
      <c r="D309" s="24" t="s">
        <v>302</v>
      </c>
    </row>
    <row r="310" spans="1:4" s="8" customFormat="1" ht="26.1">
      <c r="A310" s="25"/>
      <c r="B310" s="22"/>
      <c r="C310" s="23"/>
      <c r="D310" s="24" t="s">
        <v>303</v>
      </c>
    </row>
    <row r="311" spans="1:4" s="8" customFormat="1">
      <c r="A311" s="25"/>
      <c r="B311" s="22"/>
      <c r="C311" s="23"/>
      <c r="D311" s="24" t="s">
        <v>304</v>
      </c>
    </row>
    <row r="312" spans="1:4" s="8" customFormat="1">
      <c r="A312" s="25"/>
      <c r="B312" s="22"/>
      <c r="C312" s="23"/>
      <c r="D312" s="24" t="s">
        <v>305</v>
      </c>
    </row>
    <row r="313" spans="1:4" s="8" customFormat="1">
      <c r="A313" s="25"/>
      <c r="B313" s="22"/>
      <c r="C313" s="23"/>
      <c r="D313" s="24" t="s">
        <v>306</v>
      </c>
    </row>
    <row r="314" spans="1:4" s="8" customFormat="1">
      <c r="A314" s="25"/>
      <c r="B314" s="22"/>
      <c r="C314" s="23"/>
      <c r="D314" s="26" t="s">
        <v>307</v>
      </c>
    </row>
    <row r="315" spans="1:4" s="8" customFormat="1">
      <c r="A315" s="25"/>
      <c r="B315" s="22"/>
      <c r="C315" s="23"/>
      <c r="D315" s="26" t="s">
        <v>308</v>
      </c>
    </row>
    <row r="316" spans="1:4" s="8" customFormat="1">
      <c r="A316" s="25"/>
      <c r="B316" s="22"/>
      <c r="C316" s="23"/>
      <c r="D316" s="26" t="s">
        <v>309</v>
      </c>
    </row>
    <row r="317" spans="1:4" s="8" customFormat="1">
      <c r="A317" s="25"/>
      <c r="B317" s="22"/>
      <c r="C317" s="23"/>
      <c r="D317" s="26" t="s">
        <v>310</v>
      </c>
    </row>
    <row r="318" spans="1:4" s="8" customFormat="1">
      <c r="A318" s="25"/>
      <c r="B318" s="22"/>
      <c r="C318" s="23"/>
      <c r="D318" s="24"/>
    </row>
    <row r="319" spans="1:4" s="8" customFormat="1">
      <c r="A319" s="25"/>
      <c r="B319" s="22"/>
      <c r="C319" s="23" t="s">
        <v>311</v>
      </c>
      <c r="D319" s="24"/>
    </row>
    <row r="320" spans="1:4" s="8" customFormat="1">
      <c r="A320" s="25"/>
      <c r="B320" s="22"/>
      <c r="C320" s="23"/>
      <c r="D320" s="24" t="s">
        <v>312</v>
      </c>
    </row>
    <row r="321" spans="1:4" s="8" customFormat="1" ht="26.1">
      <c r="A321" s="25"/>
      <c r="B321" s="22"/>
      <c r="C321" s="23"/>
      <c r="D321" s="24" t="s">
        <v>313</v>
      </c>
    </row>
    <row r="322" spans="1:4" s="8" customFormat="1">
      <c r="A322" s="25"/>
      <c r="B322" s="22"/>
      <c r="C322" s="23"/>
      <c r="D322" s="24" t="s">
        <v>314</v>
      </c>
    </row>
    <row r="323" spans="1:4" s="8" customFormat="1">
      <c r="A323" s="25"/>
      <c r="B323" s="22"/>
      <c r="C323" s="23"/>
      <c r="D323" s="24" t="s">
        <v>315</v>
      </c>
    </row>
    <row r="324" spans="1:4" s="8" customFormat="1">
      <c r="A324" s="25"/>
      <c r="B324" s="22"/>
      <c r="C324" s="23"/>
      <c r="D324" s="24" t="s">
        <v>316</v>
      </c>
    </row>
    <row r="325" spans="1:4" s="8" customFormat="1">
      <c r="A325" s="25"/>
      <c r="B325" s="22"/>
      <c r="C325" s="23"/>
      <c r="D325" s="24" t="s">
        <v>317</v>
      </c>
    </row>
    <row r="326" spans="1:4" s="8" customFormat="1">
      <c r="A326" s="25"/>
      <c r="B326" s="22"/>
      <c r="C326" s="23"/>
      <c r="D326" s="24" t="s">
        <v>318</v>
      </c>
    </row>
    <row r="327" spans="1:4" s="8" customFormat="1">
      <c r="A327" s="25"/>
      <c r="B327" s="22"/>
      <c r="C327" s="23"/>
      <c r="D327" s="26" t="s">
        <v>319</v>
      </c>
    </row>
    <row r="328" spans="1:4" s="8" customFormat="1">
      <c r="A328" s="25"/>
      <c r="B328" s="22"/>
      <c r="C328" s="23"/>
      <c r="D328" s="26" t="s">
        <v>320</v>
      </c>
    </row>
    <row r="329" spans="1:4" s="8" customFormat="1">
      <c r="A329" s="25"/>
      <c r="B329" s="22"/>
      <c r="C329" s="23"/>
      <c r="D329" s="26" t="s">
        <v>321</v>
      </c>
    </row>
    <row r="330" spans="1:4" s="8" customFormat="1">
      <c r="A330" s="25"/>
      <c r="B330" s="22"/>
      <c r="C330" s="23"/>
      <c r="D330" s="26" t="s">
        <v>322</v>
      </c>
    </row>
    <row r="331" spans="1:4" s="8" customFormat="1">
      <c r="A331" s="25"/>
      <c r="B331" s="22"/>
      <c r="C331" s="23"/>
      <c r="D331" s="26" t="s">
        <v>323</v>
      </c>
    </row>
    <row r="332" spans="1:4" s="8" customFormat="1">
      <c r="A332" s="25"/>
      <c r="B332" s="22"/>
      <c r="C332" s="23"/>
      <c r="D332" s="24"/>
    </row>
    <row r="333" spans="1:4" s="8" customFormat="1">
      <c r="A333" s="25"/>
      <c r="B333" s="22"/>
      <c r="C333" s="23"/>
      <c r="D333" s="24"/>
    </row>
    <row r="334" spans="1:4" s="8" customFormat="1">
      <c r="A334" s="25"/>
      <c r="B334" s="22" t="s">
        <v>324</v>
      </c>
      <c r="C334" s="23"/>
      <c r="D334" s="24"/>
    </row>
    <row r="335" spans="1:4" s="8" customFormat="1">
      <c r="A335" s="25"/>
      <c r="B335" s="22"/>
      <c r="C335" s="23"/>
      <c r="D335" s="24"/>
    </row>
    <row r="336" spans="1:4" s="8" customFormat="1">
      <c r="A336" s="25"/>
      <c r="B336" s="22"/>
      <c r="C336" s="23" t="s">
        <v>325</v>
      </c>
      <c r="D336" s="24"/>
    </row>
    <row r="337" spans="1:4" s="8" customFormat="1" ht="26.1">
      <c r="A337" s="25"/>
      <c r="B337" s="22"/>
      <c r="C337" s="23"/>
      <c r="D337" s="24" t="s">
        <v>326</v>
      </c>
    </row>
    <row r="338" spans="1:4" s="8" customFormat="1">
      <c r="A338" s="25"/>
      <c r="B338" s="22"/>
      <c r="C338" s="23"/>
      <c r="D338" s="24"/>
    </row>
    <row r="339" spans="1:4" s="8" customFormat="1">
      <c r="A339" s="25"/>
      <c r="B339" s="22"/>
      <c r="C339" s="23" t="s">
        <v>327</v>
      </c>
      <c r="D339" s="24"/>
    </row>
    <row r="340" spans="1:4" s="8" customFormat="1" ht="65.099999999999994">
      <c r="A340" s="25"/>
      <c r="B340" s="22"/>
      <c r="C340" s="23"/>
      <c r="D340" s="24" t="s">
        <v>328</v>
      </c>
    </row>
    <row r="341" spans="1:4" s="8" customFormat="1">
      <c r="A341" s="25"/>
      <c r="B341" s="22"/>
      <c r="C341" s="23"/>
      <c r="D341" s="24"/>
    </row>
    <row r="342" spans="1:4" s="8" customFormat="1">
      <c r="A342" s="25"/>
      <c r="B342" s="22"/>
      <c r="C342" s="23" t="s">
        <v>329</v>
      </c>
      <c r="D342" s="24"/>
    </row>
    <row r="343" spans="1:4" s="8" customFormat="1" ht="65.099999999999994">
      <c r="A343" s="25"/>
      <c r="B343" s="22"/>
      <c r="C343" s="23"/>
      <c r="D343" s="24" t="s">
        <v>330</v>
      </c>
    </row>
    <row r="344" spans="1:4" s="8" customFormat="1">
      <c r="A344" s="25"/>
      <c r="B344" s="22"/>
      <c r="C344" s="23"/>
      <c r="D344" s="24"/>
    </row>
    <row r="345" spans="1:4" s="8" customFormat="1">
      <c r="A345" s="25"/>
      <c r="B345" s="22"/>
      <c r="C345" s="23" t="s">
        <v>331</v>
      </c>
      <c r="D345" s="24"/>
    </row>
    <row r="346" spans="1:4" s="8" customFormat="1" ht="39">
      <c r="A346" s="25"/>
      <c r="B346" s="22"/>
      <c r="C346" s="23"/>
      <c r="D346" s="24" t="s">
        <v>332</v>
      </c>
    </row>
    <row r="347" spans="1:4" s="8" customFormat="1">
      <c r="A347" s="25"/>
      <c r="B347" s="22"/>
      <c r="C347" s="23"/>
      <c r="D347" s="24"/>
    </row>
    <row r="348" spans="1:4" s="8" customFormat="1">
      <c r="A348" s="25"/>
      <c r="B348" s="22"/>
      <c r="C348" s="23" t="s">
        <v>333</v>
      </c>
      <c r="D348" s="24"/>
    </row>
    <row r="349" spans="1:4" s="8" customFormat="1" ht="26.1">
      <c r="A349" s="25"/>
      <c r="B349" s="22"/>
      <c r="C349" s="23"/>
      <c r="D349" s="24" t="s">
        <v>334</v>
      </c>
    </row>
    <row r="350" spans="1:4" s="8" customFormat="1">
      <c r="A350" s="25"/>
      <c r="B350" s="22"/>
      <c r="C350" s="23"/>
      <c r="D350" s="24"/>
    </row>
    <row r="351" spans="1:4" s="8" customFormat="1">
      <c r="A351" s="25"/>
      <c r="B351" s="22"/>
      <c r="C351" s="23" t="s">
        <v>335</v>
      </c>
      <c r="D351" s="24"/>
    </row>
    <row r="352" spans="1:4" s="8" customFormat="1" ht="26.1">
      <c r="A352" s="25"/>
      <c r="B352" s="22"/>
      <c r="C352" s="23"/>
      <c r="D352" s="24" t="s">
        <v>336</v>
      </c>
    </row>
    <row r="353" spans="1:4" s="8" customFormat="1">
      <c r="A353" s="25"/>
      <c r="B353" s="22"/>
      <c r="C353" s="23"/>
      <c r="D353" s="24"/>
    </row>
    <row r="354" spans="1:4" s="8" customFormat="1">
      <c r="A354" s="25"/>
      <c r="B354" s="22"/>
      <c r="C354" s="23" t="s">
        <v>337</v>
      </c>
      <c r="D354" s="24"/>
    </row>
    <row r="355" spans="1:4" s="8" customFormat="1" ht="143.1">
      <c r="A355" s="25"/>
      <c r="B355" s="22"/>
      <c r="C355" s="23"/>
      <c r="D355" s="24" t="s">
        <v>338</v>
      </c>
    </row>
    <row r="356" spans="1:4" s="8" customFormat="1">
      <c r="A356" s="25"/>
      <c r="B356" s="22"/>
      <c r="C356" s="23"/>
      <c r="D356" s="24"/>
    </row>
    <row r="357" spans="1:4" s="8" customFormat="1">
      <c r="A357" s="25"/>
      <c r="B357" s="22"/>
      <c r="C357" s="23" t="s">
        <v>339</v>
      </c>
      <c r="D357" s="24"/>
    </row>
    <row r="358" spans="1:4" s="8" customFormat="1" ht="182.1">
      <c r="A358" s="25"/>
      <c r="B358" s="22"/>
      <c r="C358" s="23"/>
      <c r="D358" s="24" t="s">
        <v>340</v>
      </c>
    </row>
    <row r="359" spans="1:4" s="8" customFormat="1">
      <c r="A359" s="25"/>
      <c r="B359" s="22"/>
      <c r="C359" s="23"/>
      <c r="D359" s="24"/>
    </row>
    <row r="360" spans="1:4" s="8" customFormat="1">
      <c r="A360" s="25"/>
      <c r="B360" s="22"/>
      <c r="C360" s="23" t="s">
        <v>341</v>
      </c>
      <c r="D360" s="24"/>
    </row>
    <row r="361" spans="1:4" s="8" customFormat="1" ht="39">
      <c r="A361" s="25"/>
      <c r="B361" s="22"/>
      <c r="C361" s="23"/>
      <c r="D361" s="24" t="s">
        <v>342</v>
      </c>
    </row>
    <row r="362" spans="1:4" s="8" customFormat="1">
      <c r="A362" s="25"/>
      <c r="B362" s="22"/>
      <c r="C362" s="23"/>
      <c r="D362" s="24"/>
    </row>
    <row r="363" spans="1:4" s="8" customFormat="1" ht="26.45" customHeight="1">
      <c r="A363" s="25"/>
      <c r="B363" s="318" t="s">
        <v>343</v>
      </c>
      <c r="C363" s="318"/>
      <c r="D363" s="319"/>
    </row>
    <row r="364" spans="1:4" s="8" customFormat="1">
      <c r="A364" s="25"/>
      <c r="B364" s="22"/>
      <c r="C364" s="23"/>
      <c r="D364" s="24"/>
    </row>
    <row r="365" spans="1:4" s="8" customFormat="1">
      <c r="A365" s="25"/>
      <c r="B365" s="22"/>
      <c r="C365" s="23" t="s">
        <v>344</v>
      </c>
      <c r="D365" s="24"/>
    </row>
    <row r="366" spans="1:4" s="8" customFormat="1" ht="51.95">
      <c r="A366" s="25"/>
      <c r="B366" s="22"/>
      <c r="C366" s="23"/>
      <c r="D366" s="24" t="s">
        <v>345</v>
      </c>
    </row>
    <row r="367" spans="1:4" s="8" customFormat="1">
      <c r="A367" s="25"/>
      <c r="B367" s="22"/>
      <c r="C367" s="23"/>
      <c r="D367" s="24"/>
    </row>
    <row r="368" spans="1:4" s="8" customFormat="1">
      <c r="A368" s="25"/>
      <c r="B368" s="22"/>
      <c r="C368" s="23" t="s">
        <v>346</v>
      </c>
      <c r="D368" s="24"/>
    </row>
    <row r="369" spans="1:4" s="8" customFormat="1" ht="39">
      <c r="A369" s="25"/>
      <c r="B369" s="22"/>
      <c r="C369" s="23"/>
      <c r="D369" s="24" t="s">
        <v>347</v>
      </c>
    </row>
    <row r="370" spans="1:4" s="8" customFormat="1">
      <c r="A370" s="25"/>
      <c r="B370" s="22"/>
      <c r="C370" s="23"/>
      <c r="D370" s="24"/>
    </row>
    <row r="371" spans="1:4" s="8" customFormat="1">
      <c r="A371" s="25"/>
      <c r="B371" s="22"/>
      <c r="C371" s="23" t="s">
        <v>348</v>
      </c>
      <c r="D371" s="24"/>
    </row>
    <row r="372" spans="1:4" s="8" customFormat="1" ht="39">
      <c r="A372" s="25"/>
      <c r="B372" s="22"/>
      <c r="C372" s="23"/>
      <c r="D372" s="24" t="s">
        <v>349</v>
      </c>
    </row>
    <row r="373" spans="1:4" s="8" customFormat="1">
      <c r="A373" s="25"/>
      <c r="B373" s="22"/>
      <c r="C373" s="23"/>
      <c r="D373" s="24"/>
    </row>
    <row r="374" spans="1:4" s="8" customFormat="1">
      <c r="A374" s="25"/>
      <c r="B374" s="22"/>
      <c r="C374" s="23" t="s">
        <v>350</v>
      </c>
      <c r="D374" s="24"/>
    </row>
    <row r="375" spans="1:4" s="8" customFormat="1" ht="78">
      <c r="A375" s="25"/>
      <c r="B375" s="22"/>
      <c r="C375" s="23"/>
      <c r="D375" s="24" t="s">
        <v>351</v>
      </c>
    </row>
    <row r="376" spans="1:4" s="8" customFormat="1">
      <c r="A376" s="25"/>
      <c r="B376" s="22"/>
      <c r="C376" s="23"/>
      <c r="D376" s="24"/>
    </row>
    <row r="377" spans="1:4" s="8" customFormat="1">
      <c r="A377" s="25"/>
      <c r="B377" s="22" t="s">
        <v>352</v>
      </c>
      <c r="C377" s="23"/>
      <c r="D377" s="24"/>
    </row>
    <row r="378" spans="1:4" s="8" customFormat="1">
      <c r="A378" s="25"/>
      <c r="B378" s="22"/>
      <c r="C378" s="23"/>
      <c r="D378" s="24"/>
    </row>
    <row r="379" spans="1:4" s="8" customFormat="1">
      <c r="A379" s="25"/>
      <c r="B379" s="22"/>
      <c r="C379" s="23" t="s">
        <v>353</v>
      </c>
      <c r="D379" s="24"/>
    </row>
    <row r="380" spans="1:4" s="8" customFormat="1" ht="39">
      <c r="A380" s="25"/>
      <c r="B380" s="22"/>
      <c r="C380" s="23"/>
      <c r="D380" s="24" t="s">
        <v>354</v>
      </c>
    </row>
    <row r="381" spans="1:4" s="8" customFormat="1">
      <c r="A381" s="25"/>
      <c r="B381" s="22"/>
      <c r="C381" s="23"/>
      <c r="D381" s="24"/>
    </row>
    <row r="382" spans="1:4" s="8" customFormat="1">
      <c r="A382" s="25"/>
      <c r="B382" s="22"/>
      <c r="C382" s="23" t="s">
        <v>355</v>
      </c>
      <c r="D382" s="24"/>
    </row>
    <row r="383" spans="1:4" s="8" customFormat="1" ht="51.95">
      <c r="A383" s="25"/>
      <c r="B383" s="22"/>
      <c r="C383" s="23"/>
      <c r="D383" s="24" t="s">
        <v>356</v>
      </c>
    </row>
    <row r="384" spans="1:4" s="8" customFormat="1">
      <c r="A384" s="25"/>
      <c r="B384" s="22"/>
      <c r="C384" s="23"/>
      <c r="D384" s="24"/>
    </row>
    <row r="385" spans="1:4" s="8" customFormat="1">
      <c r="A385" s="25"/>
      <c r="B385" s="22"/>
      <c r="C385" s="23" t="s">
        <v>357</v>
      </c>
      <c r="D385" s="24"/>
    </row>
    <row r="386" spans="1:4" s="8" customFormat="1" ht="39">
      <c r="A386" s="25"/>
      <c r="B386" s="22"/>
      <c r="C386" s="23"/>
      <c r="D386" s="24" t="s">
        <v>358</v>
      </c>
    </row>
    <row r="387" spans="1:4" s="8" customFormat="1">
      <c r="A387" s="25"/>
      <c r="B387" s="22"/>
      <c r="C387" s="23"/>
      <c r="D387" s="24"/>
    </row>
    <row r="388" spans="1:4" s="8" customFormat="1">
      <c r="A388" s="25"/>
      <c r="B388" s="22"/>
      <c r="C388" s="23" t="s">
        <v>359</v>
      </c>
      <c r="D388" s="24"/>
    </row>
    <row r="389" spans="1:4" s="8" customFormat="1" ht="26.1">
      <c r="A389" s="25"/>
      <c r="B389" s="22"/>
      <c r="C389" s="23"/>
      <c r="D389" s="24" t="s">
        <v>360</v>
      </c>
    </row>
    <row r="390" spans="1:4" s="8" customFormat="1">
      <c r="A390" s="25"/>
      <c r="B390" s="22"/>
      <c r="C390" s="23"/>
      <c r="D390" s="24"/>
    </row>
    <row r="391" spans="1:4" s="8" customFormat="1">
      <c r="A391" s="25"/>
      <c r="B391" s="22"/>
      <c r="C391" s="23" t="s">
        <v>361</v>
      </c>
      <c r="D391" s="24"/>
    </row>
    <row r="392" spans="1:4" s="8" customFormat="1" ht="39">
      <c r="A392" s="25"/>
      <c r="B392" s="22"/>
      <c r="C392" s="23"/>
      <c r="D392" s="24" t="s">
        <v>362</v>
      </c>
    </row>
    <row r="393" spans="1:4" s="8" customFormat="1">
      <c r="A393" s="25"/>
      <c r="B393" s="22"/>
      <c r="C393" s="23"/>
      <c r="D393" s="24"/>
    </row>
    <row r="394" spans="1:4" s="8" customFormat="1">
      <c r="A394" s="25"/>
      <c r="B394" s="22" t="s">
        <v>363</v>
      </c>
      <c r="C394" s="23"/>
      <c r="D394" s="24"/>
    </row>
    <row r="395" spans="1:4" s="8" customFormat="1">
      <c r="A395" s="25"/>
      <c r="B395" s="22"/>
      <c r="C395" s="23"/>
      <c r="D395" s="24"/>
    </row>
    <row r="396" spans="1:4" s="8" customFormat="1">
      <c r="A396" s="25"/>
      <c r="B396" s="22"/>
      <c r="C396" s="23" t="s">
        <v>364</v>
      </c>
      <c r="D396" s="24"/>
    </row>
    <row r="397" spans="1:4" s="8" customFormat="1" ht="39">
      <c r="A397" s="25"/>
      <c r="B397" s="22"/>
      <c r="C397" s="23"/>
      <c r="D397" s="24" t="s">
        <v>365</v>
      </c>
    </row>
    <row r="398" spans="1:4" s="8" customFormat="1">
      <c r="A398" s="25"/>
      <c r="B398" s="22"/>
      <c r="C398" s="23"/>
      <c r="D398" s="24"/>
    </row>
    <row r="399" spans="1:4" s="8" customFormat="1">
      <c r="A399" s="25"/>
      <c r="B399" s="22"/>
      <c r="C399" s="23" t="s">
        <v>366</v>
      </c>
      <c r="D399" s="24"/>
    </row>
    <row r="400" spans="1:4" s="8" customFormat="1" ht="39">
      <c r="A400" s="25"/>
      <c r="B400" s="22"/>
      <c r="C400" s="23"/>
      <c r="D400" s="24" t="s">
        <v>367</v>
      </c>
    </row>
    <row r="401" spans="1:4" s="8" customFormat="1">
      <c r="A401" s="25"/>
      <c r="B401" s="22"/>
      <c r="C401" s="23" t="s">
        <v>368</v>
      </c>
      <c r="D401" s="24"/>
    </row>
    <row r="402" spans="1:4" s="8" customFormat="1" ht="26.1">
      <c r="A402" s="25"/>
      <c r="B402" s="22"/>
      <c r="C402" s="23"/>
      <c r="D402" s="24" t="s">
        <v>369</v>
      </c>
    </row>
    <row r="403" spans="1:4" s="8" customFormat="1">
      <c r="A403" s="25"/>
      <c r="B403" s="22"/>
      <c r="C403" s="23"/>
      <c r="D403" s="24"/>
    </row>
    <row r="404" spans="1:4" s="8" customFormat="1">
      <c r="A404" s="25"/>
      <c r="B404" s="22"/>
      <c r="C404" s="23" t="s">
        <v>370</v>
      </c>
      <c r="D404" s="24"/>
    </row>
    <row r="405" spans="1:4" s="8" customFormat="1" ht="39">
      <c r="A405" s="25"/>
      <c r="B405" s="22"/>
      <c r="C405" s="23"/>
      <c r="D405" s="24" t="s">
        <v>371</v>
      </c>
    </row>
    <row r="406" spans="1:4" s="8" customFormat="1">
      <c r="A406" s="25"/>
      <c r="B406" s="22"/>
      <c r="C406" s="23"/>
      <c r="D406" s="24"/>
    </row>
    <row r="407" spans="1:4" s="8" customFormat="1">
      <c r="A407" s="25"/>
      <c r="B407" s="22" t="s">
        <v>372</v>
      </c>
      <c r="C407" s="23"/>
      <c r="D407" s="24"/>
    </row>
    <row r="408" spans="1:4" s="8" customFormat="1">
      <c r="A408" s="25"/>
      <c r="B408" s="22"/>
      <c r="C408" s="23"/>
      <c r="D408" s="24"/>
    </row>
    <row r="409" spans="1:4" s="8" customFormat="1">
      <c r="A409" s="25"/>
      <c r="B409" s="22"/>
      <c r="C409" s="23" t="s">
        <v>373</v>
      </c>
      <c r="D409" s="24"/>
    </row>
    <row r="410" spans="1:4" s="8" customFormat="1" ht="39">
      <c r="A410" s="25"/>
      <c r="B410" s="22"/>
      <c r="C410" s="23"/>
      <c r="D410" s="24" t="s">
        <v>374</v>
      </c>
    </row>
    <row r="411" spans="1:4" s="8" customFormat="1">
      <c r="A411" s="25"/>
      <c r="B411" s="22"/>
      <c r="C411" s="23"/>
      <c r="D411" s="24"/>
    </row>
    <row r="412" spans="1:4" s="8" customFormat="1">
      <c r="A412" s="25"/>
      <c r="B412" s="22"/>
      <c r="C412" s="23" t="s">
        <v>375</v>
      </c>
      <c r="D412" s="24"/>
    </row>
    <row r="413" spans="1:4" s="8" customFormat="1" ht="65.099999999999994">
      <c r="A413" s="25"/>
      <c r="B413" s="22"/>
      <c r="C413" s="23"/>
      <c r="D413" s="24" t="s">
        <v>376</v>
      </c>
    </row>
    <row r="414" spans="1:4" s="8" customFormat="1">
      <c r="A414" s="25"/>
      <c r="B414" s="22"/>
      <c r="C414" s="23"/>
      <c r="D414" s="24"/>
    </row>
    <row r="415" spans="1:4" s="8" customFormat="1">
      <c r="A415" s="25"/>
      <c r="B415" s="22"/>
      <c r="C415" s="23" t="s">
        <v>377</v>
      </c>
      <c r="D415" s="24"/>
    </row>
    <row r="416" spans="1:4" s="8" customFormat="1" ht="26.1">
      <c r="A416" s="25"/>
      <c r="B416" s="22"/>
      <c r="C416" s="23"/>
      <c r="D416" s="24" t="s">
        <v>378</v>
      </c>
    </row>
    <row r="417" spans="1:4" s="8" customFormat="1">
      <c r="A417" s="25"/>
      <c r="B417" s="22"/>
      <c r="C417" s="23"/>
      <c r="D417" s="24"/>
    </row>
    <row r="418" spans="1:4" s="8" customFormat="1">
      <c r="A418" s="25"/>
      <c r="B418" s="22"/>
      <c r="C418" s="23" t="s">
        <v>379</v>
      </c>
      <c r="D418" s="24"/>
    </row>
    <row r="419" spans="1:4" s="8" customFormat="1" ht="26.1">
      <c r="A419" s="25"/>
      <c r="B419" s="22"/>
      <c r="C419" s="23"/>
      <c r="D419" s="24" t="s">
        <v>380</v>
      </c>
    </row>
    <row r="420" spans="1:4" s="8" customFormat="1">
      <c r="A420" s="25"/>
      <c r="B420" s="22"/>
      <c r="C420" s="23"/>
      <c r="D420" s="24"/>
    </row>
    <row r="421" spans="1:4" s="8" customFormat="1">
      <c r="A421" s="25"/>
      <c r="B421" s="22"/>
      <c r="C421" s="23" t="s">
        <v>381</v>
      </c>
      <c r="D421" s="24"/>
    </row>
    <row r="422" spans="1:4" s="8" customFormat="1" ht="39">
      <c r="A422" s="25"/>
      <c r="B422" s="22"/>
      <c r="C422" s="23"/>
      <c r="D422" s="24" t="s">
        <v>382</v>
      </c>
    </row>
    <row r="423" spans="1:4" s="8" customFormat="1">
      <c r="A423" s="25"/>
      <c r="B423" s="22"/>
      <c r="C423" s="23"/>
      <c r="D423" s="24"/>
    </row>
    <row r="424" spans="1:4" s="8" customFormat="1">
      <c r="A424" s="25"/>
      <c r="B424" s="22"/>
      <c r="C424" s="23" t="s">
        <v>383</v>
      </c>
      <c r="D424" s="24"/>
    </row>
    <row r="425" spans="1:4" s="8" customFormat="1" ht="104.1">
      <c r="A425" s="25"/>
      <c r="B425" s="22"/>
      <c r="C425" s="23"/>
      <c r="D425" s="24" t="s">
        <v>384</v>
      </c>
    </row>
    <row r="426" spans="1:4" s="8" customFormat="1">
      <c r="A426" s="25"/>
      <c r="B426" s="22"/>
      <c r="C426" s="23"/>
      <c r="D426" s="24"/>
    </row>
    <row r="427" spans="1:4" s="8" customFormat="1">
      <c r="A427" s="25"/>
      <c r="B427" s="22" t="s">
        <v>385</v>
      </c>
      <c r="C427" s="23"/>
      <c r="D427" s="24"/>
    </row>
    <row r="428" spans="1:4" s="8" customFormat="1">
      <c r="A428" s="25"/>
      <c r="B428" s="22"/>
      <c r="C428" s="23"/>
      <c r="D428" s="24"/>
    </row>
    <row r="429" spans="1:4" s="8" customFormat="1">
      <c r="A429" s="25"/>
      <c r="B429" s="22"/>
      <c r="C429" s="23" t="s">
        <v>386</v>
      </c>
      <c r="D429" s="24"/>
    </row>
    <row r="430" spans="1:4" s="8" customFormat="1" ht="39">
      <c r="A430" s="25"/>
      <c r="B430" s="22"/>
      <c r="C430" s="23"/>
      <c r="D430" s="24" t="s">
        <v>387</v>
      </c>
    </row>
    <row r="431" spans="1:4" s="8" customFormat="1">
      <c r="A431" s="25"/>
      <c r="B431" s="22"/>
      <c r="C431" s="23"/>
      <c r="D431" s="24"/>
    </row>
    <row r="432" spans="1:4" s="8" customFormat="1">
      <c r="A432" s="25"/>
      <c r="B432" s="22"/>
      <c r="C432" s="23" t="s">
        <v>388</v>
      </c>
      <c r="D432" s="24"/>
    </row>
    <row r="433" spans="1:4" s="8" customFormat="1" ht="26.1">
      <c r="A433" s="25"/>
      <c r="B433" s="22"/>
      <c r="C433" s="23"/>
      <c r="D433" s="24" t="s">
        <v>389</v>
      </c>
    </row>
    <row r="434" spans="1:4" s="8" customFormat="1">
      <c r="A434" s="25"/>
      <c r="B434" s="22"/>
      <c r="C434" s="23"/>
      <c r="D434" s="24"/>
    </row>
    <row r="435" spans="1:4" s="8" customFormat="1">
      <c r="A435" s="25"/>
      <c r="B435" s="22"/>
      <c r="C435" s="23" t="s">
        <v>390</v>
      </c>
      <c r="D435" s="24"/>
    </row>
    <row r="436" spans="1:4" s="8" customFormat="1" ht="39">
      <c r="A436" s="25"/>
      <c r="B436" s="22"/>
      <c r="C436" s="23"/>
      <c r="D436" s="24" t="s">
        <v>391</v>
      </c>
    </row>
    <row r="437" spans="1:4" s="8" customFormat="1">
      <c r="A437" s="25"/>
      <c r="B437" s="22"/>
      <c r="C437" s="23"/>
      <c r="D437" s="24"/>
    </row>
    <row r="438" spans="1:4" s="8" customFormat="1">
      <c r="A438" s="25"/>
      <c r="B438" s="22"/>
      <c r="C438" s="23" t="s">
        <v>392</v>
      </c>
      <c r="D438" s="24"/>
    </row>
    <row r="439" spans="1:4" s="8" customFormat="1" ht="26.1">
      <c r="A439" s="25"/>
      <c r="B439" s="22"/>
      <c r="C439" s="23"/>
      <c r="D439" s="24" t="s">
        <v>393</v>
      </c>
    </row>
    <row r="440" spans="1:4" s="8" customFormat="1">
      <c r="A440" s="25"/>
      <c r="B440" s="22"/>
      <c r="C440" s="23"/>
      <c r="D440" s="24"/>
    </row>
    <row r="441" spans="1:4" s="8" customFormat="1">
      <c r="A441" s="25"/>
      <c r="B441" s="22"/>
      <c r="C441" s="23" t="s">
        <v>394</v>
      </c>
      <c r="D441" s="24"/>
    </row>
    <row r="442" spans="1:4" s="8" customFormat="1" ht="26.1">
      <c r="A442" s="25"/>
      <c r="B442" s="22"/>
      <c r="C442" s="23"/>
      <c r="D442" s="24" t="s">
        <v>395</v>
      </c>
    </row>
    <row r="443" spans="1:4" s="8" customFormat="1">
      <c r="A443" s="25"/>
      <c r="B443" s="22"/>
      <c r="C443" s="23"/>
      <c r="D443" s="24"/>
    </row>
    <row r="444" spans="1:4" s="8" customFormat="1">
      <c r="A444" s="25"/>
      <c r="B444" s="22" t="s">
        <v>396</v>
      </c>
      <c r="C444" s="23"/>
      <c r="D444" s="24"/>
    </row>
    <row r="445" spans="1:4" s="8" customFormat="1">
      <c r="A445" s="25"/>
      <c r="B445" s="22"/>
      <c r="C445" s="23"/>
      <c r="D445" s="24"/>
    </row>
    <row r="446" spans="1:4" s="8" customFormat="1">
      <c r="A446" s="25"/>
      <c r="B446" s="22"/>
      <c r="C446" s="23" t="s">
        <v>397</v>
      </c>
      <c r="D446" s="24"/>
    </row>
    <row r="447" spans="1:4" s="8" customFormat="1" ht="26.1">
      <c r="A447" s="25"/>
      <c r="B447" s="22"/>
      <c r="C447" s="23"/>
      <c r="D447" s="24" t="s">
        <v>398</v>
      </c>
    </row>
    <row r="448" spans="1:4" s="8" customFormat="1">
      <c r="A448" s="25"/>
      <c r="B448" s="22"/>
      <c r="C448" s="23"/>
      <c r="D448" s="24"/>
    </row>
    <row r="449" spans="1:4" s="8" customFormat="1">
      <c r="A449" s="25"/>
      <c r="B449" s="22"/>
      <c r="C449" s="23" t="s">
        <v>399</v>
      </c>
      <c r="D449" s="24"/>
    </row>
    <row r="450" spans="1:4" s="8" customFormat="1" ht="26.1">
      <c r="A450" s="25"/>
      <c r="B450" s="22"/>
      <c r="C450" s="23"/>
      <c r="D450" s="24" t="s">
        <v>400</v>
      </c>
    </row>
    <row r="451" spans="1:4" s="8" customFormat="1">
      <c r="A451" s="25"/>
      <c r="B451" s="22"/>
      <c r="C451" s="23"/>
      <c r="D451" s="24"/>
    </row>
    <row r="452" spans="1:4" s="8" customFormat="1">
      <c r="A452" s="25"/>
      <c r="B452" s="22"/>
      <c r="C452" s="23" t="s">
        <v>401</v>
      </c>
      <c r="D452" s="24"/>
    </row>
    <row r="453" spans="1:4" s="8" customFormat="1" ht="26.1">
      <c r="A453" s="25"/>
      <c r="B453" s="22"/>
      <c r="C453" s="23"/>
      <c r="D453" s="24" t="s">
        <v>402</v>
      </c>
    </row>
    <row r="454" spans="1:4" s="8" customFormat="1">
      <c r="A454" s="25"/>
      <c r="B454" s="22"/>
      <c r="C454" s="23"/>
      <c r="D454" s="24"/>
    </row>
    <row r="455" spans="1:4" s="8" customFormat="1">
      <c r="A455" s="25"/>
      <c r="B455" s="22"/>
      <c r="C455" s="23" t="s">
        <v>403</v>
      </c>
      <c r="D455" s="24"/>
    </row>
    <row r="456" spans="1:4" s="8" customFormat="1" ht="26.1">
      <c r="A456" s="25"/>
      <c r="B456" s="22"/>
      <c r="C456" s="23"/>
      <c r="D456" s="24" t="s">
        <v>404</v>
      </c>
    </row>
    <row r="457" spans="1:4" s="8" customFormat="1">
      <c r="A457" s="25"/>
      <c r="B457" s="22"/>
      <c r="C457" s="23"/>
      <c r="D457" s="24"/>
    </row>
    <row r="458" spans="1:4" s="8" customFormat="1">
      <c r="A458" s="25"/>
      <c r="B458" s="22"/>
      <c r="C458" s="23" t="s">
        <v>405</v>
      </c>
      <c r="D458" s="24"/>
    </row>
    <row r="459" spans="1:4" s="8" customFormat="1" ht="65.099999999999994">
      <c r="A459" s="25"/>
      <c r="B459" s="22"/>
      <c r="C459" s="23"/>
      <c r="D459" s="24" t="s">
        <v>406</v>
      </c>
    </row>
    <row r="460" spans="1:4" s="8" customFormat="1">
      <c r="A460" s="25"/>
      <c r="B460" s="22"/>
      <c r="C460" s="23"/>
      <c r="D460" s="24"/>
    </row>
    <row r="461" spans="1:4" s="8" customFormat="1">
      <c r="A461" s="25"/>
      <c r="B461" s="22"/>
      <c r="C461" s="23" t="s">
        <v>407</v>
      </c>
      <c r="D461" s="24"/>
    </row>
    <row r="462" spans="1:4" s="8" customFormat="1" ht="51.95">
      <c r="A462" s="25"/>
      <c r="B462" s="22"/>
      <c r="C462" s="23"/>
      <c r="D462" s="24" t="s">
        <v>408</v>
      </c>
    </row>
    <row r="463" spans="1:4" s="8" customFormat="1">
      <c r="A463" s="25"/>
      <c r="B463" s="22"/>
      <c r="C463" s="23"/>
      <c r="D463" s="24"/>
    </row>
    <row r="464" spans="1:4" s="8" customFormat="1">
      <c r="A464" s="25"/>
      <c r="B464" s="22"/>
      <c r="C464" s="23" t="s">
        <v>409</v>
      </c>
      <c r="D464" s="24"/>
    </row>
    <row r="465" spans="1:4" s="8" customFormat="1" ht="39">
      <c r="A465" s="25"/>
      <c r="B465" s="22"/>
      <c r="C465" s="23"/>
      <c r="D465" s="24" t="s">
        <v>410</v>
      </c>
    </row>
    <row r="466" spans="1:4" s="8" customFormat="1">
      <c r="A466" s="25"/>
      <c r="B466" s="22"/>
      <c r="C466" s="23"/>
      <c r="D466" s="24"/>
    </row>
    <row r="467" spans="1:4" s="8" customFormat="1">
      <c r="A467" s="25"/>
      <c r="B467" s="22"/>
      <c r="C467" s="23" t="s">
        <v>411</v>
      </c>
      <c r="D467" s="24"/>
    </row>
    <row r="468" spans="1:4" s="8" customFormat="1" ht="39">
      <c r="A468" s="25"/>
      <c r="B468" s="22"/>
      <c r="C468" s="23"/>
      <c r="D468" s="24" t="s">
        <v>412</v>
      </c>
    </row>
    <row r="469" spans="1:4" s="8" customFormat="1">
      <c r="A469" s="25"/>
      <c r="B469" s="22"/>
      <c r="C469" s="23"/>
      <c r="D469" s="24"/>
    </row>
    <row r="470" spans="1:4" s="8" customFormat="1">
      <c r="A470" s="25"/>
      <c r="B470" s="22" t="s">
        <v>413</v>
      </c>
      <c r="C470" s="23"/>
      <c r="D470" s="24"/>
    </row>
    <row r="471" spans="1:4" s="8" customFormat="1">
      <c r="A471" s="25"/>
      <c r="B471" s="22"/>
      <c r="C471" s="23"/>
      <c r="D471" s="24"/>
    </row>
    <row r="472" spans="1:4" s="8" customFormat="1">
      <c r="A472" s="25"/>
      <c r="B472" s="22"/>
      <c r="C472" s="23" t="s">
        <v>414</v>
      </c>
      <c r="D472" s="24"/>
    </row>
    <row r="473" spans="1:4" s="8" customFormat="1" ht="26.1">
      <c r="A473" s="25"/>
      <c r="B473" s="22"/>
      <c r="C473" s="23"/>
      <c r="D473" s="24" t="s">
        <v>415</v>
      </c>
    </row>
    <row r="474" spans="1:4" s="8" customFormat="1">
      <c r="A474" s="25"/>
      <c r="B474" s="22"/>
      <c r="C474" s="23"/>
      <c r="D474" s="24"/>
    </row>
    <row r="475" spans="1:4" s="8" customFormat="1">
      <c r="A475" s="25"/>
      <c r="B475" s="22"/>
      <c r="C475" s="23" t="s">
        <v>416</v>
      </c>
      <c r="D475" s="24"/>
    </row>
    <row r="476" spans="1:4" s="8" customFormat="1" ht="39">
      <c r="A476" s="25"/>
      <c r="B476" s="22"/>
      <c r="C476" s="23"/>
      <c r="D476" s="24" t="s">
        <v>417</v>
      </c>
    </row>
    <row r="477" spans="1:4" s="8" customFormat="1">
      <c r="A477" s="25"/>
      <c r="B477" s="22"/>
      <c r="C477" s="23"/>
      <c r="D477" s="24"/>
    </row>
    <row r="478" spans="1:4" s="8" customFormat="1">
      <c r="A478" s="25"/>
      <c r="B478" s="22"/>
      <c r="C478" s="23" t="s">
        <v>418</v>
      </c>
      <c r="D478" s="24"/>
    </row>
    <row r="479" spans="1:4" s="8" customFormat="1" ht="65.099999999999994">
      <c r="A479" s="25"/>
      <c r="B479" s="22"/>
      <c r="C479" s="23"/>
      <c r="D479" s="24" t="s">
        <v>419</v>
      </c>
    </row>
    <row r="480" spans="1:4" s="8" customFormat="1">
      <c r="A480" s="25"/>
      <c r="B480" s="22"/>
      <c r="C480" s="23"/>
      <c r="D480" s="24"/>
    </row>
    <row r="481" spans="1:4" s="8" customFormat="1">
      <c r="A481" s="25"/>
      <c r="B481" s="22"/>
      <c r="C481" s="23" t="s">
        <v>420</v>
      </c>
      <c r="D481" s="24"/>
    </row>
    <row r="482" spans="1:4" s="8" customFormat="1" ht="39">
      <c r="A482" s="25"/>
      <c r="B482" s="22"/>
      <c r="C482" s="23"/>
      <c r="D482" s="24" t="s">
        <v>421</v>
      </c>
    </row>
    <row r="483" spans="1:4" s="8" customFormat="1">
      <c r="A483" s="25"/>
      <c r="B483" s="22"/>
      <c r="C483" s="23"/>
      <c r="D483" s="24"/>
    </row>
    <row r="484" spans="1:4" s="8" customFormat="1">
      <c r="A484" s="25"/>
      <c r="B484" s="22"/>
      <c r="C484" s="23" t="s">
        <v>422</v>
      </c>
      <c r="D484" s="24"/>
    </row>
    <row r="485" spans="1:4" s="8" customFormat="1" ht="26.1">
      <c r="A485" s="25"/>
      <c r="B485" s="22"/>
      <c r="C485" s="23"/>
      <c r="D485" s="24" t="s">
        <v>423</v>
      </c>
    </row>
    <row r="486" spans="1:4" s="8" customFormat="1">
      <c r="A486" s="25"/>
      <c r="B486" s="22"/>
      <c r="C486" s="23"/>
      <c r="D486" s="24"/>
    </row>
    <row r="487" spans="1:4" s="8" customFormat="1">
      <c r="A487" s="25"/>
      <c r="B487" s="22"/>
      <c r="C487" s="23" t="s">
        <v>424</v>
      </c>
      <c r="D487" s="24"/>
    </row>
    <row r="488" spans="1:4" s="8" customFormat="1" ht="26.1">
      <c r="A488" s="27"/>
      <c r="B488" s="28"/>
      <c r="C488" s="29"/>
      <c r="D488" s="30" t="s">
        <v>425</v>
      </c>
    </row>
  </sheetData>
  <mergeCells count="2">
    <mergeCell ref="A1:D1"/>
    <mergeCell ref="B363:D363"/>
  </mergeCells>
  <phoneticPr fontId="32" type="noConversion"/>
  <pageMargins left="0.70069444444444495" right="0.70069444444444495" top="0.75138888888888899" bottom="0.75138888888888899" header="0.29861111111111099" footer="0.29861111111111099"/>
  <pageSetup paperSize="9" scale="70" orientation="portrait"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BD24-D0F3-443C-BD70-B15560268646}">
  <dimension ref="A1:B21"/>
  <sheetViews>
    <sheetView zoomScale="90" zoomScaleNormal="90" workbookViewId="0">
      <selection activeCell="B1" sqref="B1:B1048576"/>
    </sheetView>
  </sheetViews>
  <sheetFormatPr defaultRowHeight="12"/>
  <cols>
    <col min="1" max="1" width="54.5" customWidth="1"/>
    <col min="2" max="2" width="23.33203125" customWidth="1"/>
  </cols>
  <sheetData>
    <row r="1" spans="1:2" ht="26.1" customHeight="1">
      <c r="A1" s="239" t="s">
        <v>426</v>
      </c>
      <c r="B1" s="239" t="s">
        <v>427</v>
      </c>
    </row>
    <row r="2" spans="1:2" ht="18" customHeight="1">
      <c r="A2" s="241" t="s">
        <v>428</v>
      </c>
      <c r="B2" s="280">
        <v>1185018.6832808626</v>
      </c>
    </row>
    <row r="3" spans="1:2" ht="18" customHeight="1">
      <c r="A3" s="241" t="s">
        <v>429</v>
      </c>
      <c r="B3" s="280">
        <v>365437.82088742865</v>
      </c>
    </row>
    <row r="4" spans="1:2" ht="18" customHeight="1">
      <c r="A4" s="241" t="s">
        <v>430</v>
      </c>
      <c r="B4" s="280">
        <v>790620.54824404418</v>
      </c>
    </row>
    <row r="5" spans="1:2" ht="18" customHeight="1">
      <c r="A5" s="241" t="s">
        <v>431</v>
      </c>
      <c r="B5" s="280">
        <v>86030.487736815412</v>
      </c>
    </row>
    <row r="6" spans="1:2" ht="18" customHeight="1">
      <c r="A6" s="241" t="s">
        <v>432</v>
      </c>
      <c r="B6" s="280">
        <v>418220.66446389147</v>
      </c>
    </row>
    <row r="7" spans="1:2" ht="18" customHeight="1">
      <c r="A7" s="241" t="s">
        <v>433</v>
      </c>
      <c r="B7" s="280">
        <v>1202460.9255840094</v>
      </c>
    </row>
    <row r="8" spans="1:2" ht="18" customHeight="1">
      <c r="A8" s="241" t="s">
        <v>434</v>
      </c>
      <c r="B8" s="280">
        <v>539336.7520080579</v>
      </c>
    </row>
    <row r="9" spans="1:2" ht="18" customHeight="1">
      <c r="A9" s="241" t="s">
        <v>435</v>
      </c>
      <c r="B9" s="280">
        <v>182203.34226716284</v>
      </c>
    </row>
    <row r="10" spans="1:2" ht="18" customHeight="1">
      <c r="A10" s="241" t="s">
        <v>436</v>
      </c>
      <c r="B10" s="280">
        <v>751300.10082707321</v>
      </c>
    </row>
    <row r="11" spans="1:2" ht="18" customHeight="1">
      <c r="A11" s="241" t="s">
        <v>437</v>
      </c>
      <c r="B11" s="280">
        <v>1923047.7223416327</v>
      </c>
    </row>
    <row r="12" spans="1:2" ht="18" customHeight="1">
      <c r="A12" s="241" t="s">
        <v>438</v>
      </c>
      <c r="B12" s="280">
        <v>590870.65640227776</v>
      </c>
    </row>
    <row r="13" spans="1:2" ht="18" customHeight="1">
      <c r="A13" s="241" t="s">
        <v>439</v>
      </c>
      <c r="B13" s="280">
        <v>733910.1573054865</v>
      </c>
    </row>
    <row r="14" spans="1:2" ht="18" customHeight="1">
      <c r="A14" s="241" t="s">
        <v>440</v>
      </c>
      <c r="B14" s="280">
        <v>166051.89167117511</v>
      </c>
    </row>
    <row r="15" spans="1:2" ht="18" customHeight="1">
      <c r="A15" s="241" t="s">
        <v>441</v>
      </c>
      <c r="B15" s="280">
        <v>98849.361562613136</v>
      </c>
    </row>
    <row r="16" spans="1:2" ht="18" customHeight="1">
      <c r="A16" s="241" t="s">
        <v>442</v>
      </c>
      <c r="B16" s="280">
        <v>223101.22662385317</v>
      </c>
    </row>
    <row r="17" spans="1:2" ht="18" customHeight="1">
      <c r="A17" s="241" t="s">
        <v>443</v>
      </c>
      <c r="B17" s="280">
        <v>12517.609797807341</v>
      </c>
    </row>
    <row r="18" spans="1:2" ht="18" customHeight="1">
      <c r="A18" s="241" t="s">
        <v>444</v>
      </c>
      <c r="B18" s="280">
        <v>600096.2128979885</v>
      </c>
    </row>
    <row r="19" spans="1:2" ht="18" customHeight="1">
      <c r="A19" s="241" t="s">
        <v>445</v>
      </c>
      <c r="B19" s="280">
        <v>218501.06609781738</v>
      </c>
    </row>
    <row r="20" spans="1:2" ht="18" customHeight="1">
      <c r="A20" s="241" t="s">
        <v>446</v>
      </c>
      <c r="B20" s="280">
        <v>0</v>
      </c>
    </row>
    <row r="21" spans="1:2" ht="24.95" customHeight="1">
      <c r="A21" s="240" t="s">
        <v>447</v>
      </c>
      <c r="B21" s="281">
        <v>10087575.23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7706-E3AA-4C81-93DC-43514D8A3F38}">
  <dimension ref="A2:B21"/>
  <sheetViews>
    <sheetView workbookViewId="0">
      <selection activeCell="B1" sqref="B1:B1048576"/>
    </sheetView>
  </sheetViews>
  <sheetFormatPr defaultRowHeight="12"/>
  <cols>
    <col min="1" max="1" width="55.5" customWidth="1"/>
    <col min="2" max="2" width="27.83203125" customWidth="1"/>
  </cols>
  <sheetData>
    <row r="2" spans="1:2" ht="27.95" customHeight="1">
      <c r="A2" s="244" t="s">
        <v>448</v>
      </c>
      <c r="B2" s="244" t="s">
        <v>449</v>
      </c>
    </row>
    <row r="3" spans="1:2" ht="12.95">
      <c r="A3" s="250" t="s">
        <v>428</v>
      </c>
      <c r="B3" s="282">
        <v>1260943.5458371881</v>
      </c>
    </row>
    <row r="4" spans="1:2" ht="12.95">
      <c r="A4" s="251" t="s">
        <v>437</v>
      </c>
      <c r="B4" s="283">
        <v>1993234.9822773004</v>
      </c>
    </row>
    <row r="5" spans="1:2" ht="12.95">
      <c r="A5" s="252" t="s">
        <v>433</v>
      </c>
      <c r="B5" s="284">
        <v>1293264.5712686621</v>
      </c>
    </row>
    <row r="6" spans="1:2" ht="12.95">
      <c r="A6" s="251" t="s">
        <v>439</v>
      </c>
      <c r="B6" s="283">
        <v>776799.37730938848</v>
      </c>
    </row>
    <row r="7" spans="1:2" ht="12.95">
      <c r="A7" s="252" t="s">
        <v>444</v>
      </c>
      <c r="B7" s="284">
        <v>628513.00638555677</v>
      </c>
    </row>
    <row r="8" spans="1:2" ht="12.95">
      <c r="A8" s="251" t="s">
        <v>438</v>
      </c>
      <c r="B8" s="283">
        <v>625400.74339457264</v>
      </c>
    </row>
    <row r="9" spans="1:2" ht="12.95">
      <c r="A9" s="252" t="s">
        <v>430</v>
      </c>
      <c r="B9" s="284">
        <v>836823.88566308189</v>
      </c>
    </row>
    <row r="10" spans="1:2" ht="12.95">
      <c r="A10" s="251" t="s">
        <v>436</v>
      </c>
      <c r="B10" s="283">
        <v>782777.73635344056</v>
      </c>
    </row>
    <row r="11" spans="1:2" ht="12.95">
      <c r="A11" s="252" t="s">
        <v>432</v>
      </c>
      <c r="B11" s="284">
        <v>440330.88346876675</v>
      </c>
    </row>
    <row r="12" spans="1:2" ht="12.95">
      <c r="A12" s="251" t="s">
        <v>429</v>
      </c>
      <c r="B12" s="283">
        <v>384757.55073110556</v>
      </c>
    </row>
    <row r="13" spans="1:2" ht="12.95">
      <c r="A13" s="252" t="s">
        <v>443</v>
      </c>
      <c r="B13" s="284">
        <v>12907.583219625871</v>
      </c>
    </row>
    <row r="14" spans="1:2" ht="12.95">
      <c r="A14" s="251" t="s">
        <v>442</v>
      </c>
      <c r="B14" s="283">
        <v>231243.95943442918</v>
      </c>
    </row>
    <row r="15" spans="1:2" ht="12.95">
      <c r="A15" s="252" t="s">
        <v>445</v>
      </c>
      <c r="B15" s="284">
        <v>227655.72601757277</v>
      </c>
    </row>
    <row r="16" spans="1:2" ht="12.95">
      <c r="A16" s="251" t="s">
        <v>434</v>
      </c>
      <c r="B16" s="283">
        <v>559021.42668682977</v>
      </c>
    </row>
    <row r="17" spans="1:2" ht="12.95">
      <c r="A17" s="252" t="s">
        <v>435</v>
      </c>
      <c r="B17" s="284">
        <v>189837.21639184078</v>
      </c>
    </row>
    <row r="18" spans="1:2" ht="12.95">
      <c r="A18" s="251" t="s">
        <v>440</v>
      </c>
      <c r="B18" s="283">
        <v>176690.93663327358</v>
      </c>
    </row>
    <row r="19" spans="1:2" ht="12.95">
      <c r="A19" s="252" t="s">
        <v>441</v>
      </c>
      <c r="B19" s="284">
        <v>102457.15857870683</v>
      </c>
    </row>
    <row r="20" spans="1:2" ht="13.5" thickBot="1">
      <c r="A20" s="251" t="s">
        <v>431</v>
      </c>
      <c r="B20" s="283">
        <v>91542.513031629467</v>
      </c>
    </row>
    <row r="21" spans="1:2" ht="15.95" thickTop="1">
      <c r="A21" s="253" t="s">
        <v>450</v>
      </c>
      <c r="B21" s="249">
        <v>10614202.80268297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J146"/>
  <sheetViews>
    <sheetView showGridLines="0" view="pageBreakPreview" zoomScale="75" zoomScaleNormal="100" zoomScaleSheetLayoutView="75" workbookViewId="0">
      <pane xSplit="2" ySplit="10" topLeftCell="C11" activePane="bottomRight" state="frozen"/>
      <selection pane="bottomRight" activeCell="C1" sqref="C1:C1048576"/>
      <selection pane="bottomLeft" activeCell="A11" sqref="A11"/>
      <selection pane="topRight" activeCell="C1" sqref="C1"/>
    </sheetView>
  </sheetViews>
  <sheetFormatPr defaultColWidth="10.33203125" defaultRowHeight="12.6" outlineLevelRow="1"/>
  <cols>
    <col min="1" max="1" width="10.6640625" style="215" customWidth="1"/>
    <col min="2" max="2" width="54.5" style="214" customWidth="1"/>
    <col min="3" max="3" width="20.5" style="231" customWidth="1"/>
    <col min="4" max="6" width="20.5" style="220" customWidth="1"/>
    <col min="7" max="7" width="20.5" style="232" customWidth="1"/>
    <col min="8" max="16384" width="10.33203125" style="214"/>
  </cols>
  <sheetData>
    <row r="1" spans="1:10" s="1" customFormat="1" ht="15.6" hidden="1">
      <c r="A1" s="3"/>
      <c r="B1" s="3"/>
      <c r="C1" s="228"/>
      <c r="D1" s="229"/>
      <c r="E1" s="229"/>
      <c r="F1" s="229"/>
      <c r="G1" s="230"/>
    </row>
    <row r="2" spans="1:10" ht="19.5" hidden="1" customHeight="1">
      <c r="A2" s="320" t="str">
        <f>Cover!A2</f>
        <v>CHN, Shanghai Campus Building 1 RF Project</v>
      </c>
      <c r="B2" s="320"/>
      <c r="D2" s="221"/>
      <c r="F2" s="221"/>
    </row>
    <row r="3" spans="1:10" ht="19.5" hidden="1" customHeight="1">
      <c r="A3" s="321" t="str">
        <f>Cover!A3</f>
        <v>Build General Contractor Works</v>
      </c>
      <c r="B3" s="321"/>
      <c r="D3" s="221"/>
      <c r="F3" s="221"/>
    </row>
    <row r="4" spans="1:10" hidden="1">
      <c r="A4" s="321" t="str">
        <f>Cover!A4</f>
        <v xml:space="preserve">Issue Date: </v>
      </c>
      <c r="B4" s="321"/>
      <c r="D4" s="221"/>
      <c r="F4" s="221"/>
    </row>
    <row r="5" spans="1:10" hidden="1">
      <c r="A5" s="4"/>
      <c r="B5" s="4"/>
      <c r="C5" s="233"/>
      <c r="D5" s="221"/>
      <c r="E5" s="222"/>
      <c r="F5" s="221"/>
    </row>
    <row r="6" spans="1:10" ht="19.5" hidden="1" customHeight="1">
      <c r="A6" s="320" t="str">
        <f>Cover!A6</f>
        <v>Name of Tenderer:__________________________________</v>
      </c>
      <c r="B6" s="320"/>
      <c r="D6" s="223"/>
      <c r="F6" s="223"/>
    </row>
    <row r="7" spans="1:10" s="1" customFormat="1" ht="15.6" hidden="1">
      <c r="A7" s="5"/>
      <c r="B7" s="5"/>
      <c r="C7" s="234"/>
      <c r="D7" s="224"/>
      <c r="E7" s="224"/>
      <c r="F7" s="224"/>
      <c r="G7" s="235"/>
    </row>
    <row r="8" spans="1:10" s="1" customFormat="1" ht="19.5" hidden="1" customHeight="1" thickBot="1">
      <c r="A8" s="6" t="s">
        <v>451</v>
      </c>
      <c r="B8" s="5"/>
      <c r="C8" s="234"/>
      <c r="D8" s="224"/>
      <c r="E8" s="224"/>
      <c r="F8" s="224"/>
      <c r="G8" s="235"/>
    </row>
    <row r="9" spans="1:10" s="218" customFormat="1" ht="20.100000000000001" customHeight="1" thickBot="1">
      <c r="A9" s="216"/>
      <c r="B9" s="216"/>
      <c r="C9" s="236" t="s">
        <v>452</v>
      </c>
      <c r="D9" s="326" t="s">
        <v>453</v>
      </c>
      <c r="E9" s="327" t="s">
        <v>454</v>
      </c>
      <c r="F9" s="324" t="s">
        <v>455</v>
      </c>
      <c r="G9" s="325" t="s">
        <v>456</v>
      </c>
      <c r="H9" s="217"/>
      <c r="I9" s="217"/>
      <c r="J9" s="217"/>
    </row>
    <row r="10" spans="1:10" s="2" customFormat="1" ht="42.95" customHeight="1">
      <c r="A10" s="7" t="s">
        <v>457</v>
      </c>
      <c r="B10" s="46" t="s">
        <v>458</v>
      </c>
      <c r="C10" s="237" t="s">
        <v>459</v>
      </c>
      <c r="D10" s="225" t="s">
        <v>459</v>
      </c>
      <c r="E10" s="226" t="s">
        <v>459</v>
      </c>
      <c r="F10" s="227" t="s">
        <v>459</v>
      </c>
      <c r="G10" s="238" t="s">
        <v>459</v>
      </c>
      <c r="H10" s="209"/>
      <c r="I10" s="209"/>
      <c r="J10" s="47"/>
    </row>
    <row r="11" spans="1:10" ht="12.95" outlineLevel="1">
      <c r="A11" s="254"/>
      <c r="B11" s="322" t="s">
        <v>460</v>
      </c>
      <c r="C11" s="354"/>
      <c r="D11" s="354"/>
      <c r="E11" s="354"/>
      <c r="F11" s="354"/>
      <c r="G11" s="354"/>
      <c r="H11" s="47"/>
      <c r="I11" s="47"/>
      <c r="J11" s="47"/>
    </row>
    <row r="12" spans="1:10" s="2" customFormat="1" ht="12.95" outlineLevel="1">
      <c r="A12" s="246" t="s">
        <v>461</v>
      </c>
      <c r="B12" s="257" t="s">
        <v>460</v>
      </c>
      <c r="C12" s="285">
        <v>546846.36604529247</v>
      </c>
      <c r="D12" s="285">
        <v>993728.82759923185</v>
      </c>
      <c r="E12" s="285">
        <v>736323.58891936962</v>
      </c>
      <c r="F12" s="285">
        <v>438585.14479028888</v>
      </c>
      <c r="G12" s="285">
        <v>576012.56974696764</v>
      </c>
      <c r="H12" s="47"/>
      <c r="I12" s="47"/>
      <c r="J12" s="47"/>
    </row>
    <row r="13" spans="1:10" s="2" customFormat="1" ht="12.95" outlineLevel="1">
      <c r="A13" s="247"/>
      <c r="B13" s="258"/>
      <c r="C13" s="286"/>
      <c r="D13" s="286"/>
      <c r="E13" s="286"/>
      <c r="F13" s="286"/>
      <c r="G13" s="286"/>
      <c r="H13" s="209"/>
      <c r="I13" s="209"/>
      <c r="J13" s="47"/>
    </row>
    <row r="14" spans="1:10" ht="12.95" outlineLevel="1">
      <c r="A14" s="255"/>
      <c r="B14" s="323" t="s">
        <v>462</v>
      </c>
      <c r="C14" s="355"/>
      <c r="D14" s="355"/>
      <c r="E14" s="355"/>
      <c r="F14" s="355"/>
      <c r="G14" s="355"/>
      <c r="H14" s="47"/>
      <c r="I14" s="47"/>
      <c r="J14" s="47"/>
    </row>
    <row r="15" spans="1:10" outlineLevel="1">
      <c r="A15" s="247" t="s">
        <v>463</v>
      </c>
      <c r="B15" s="258" t="s">
        <v>464</v>
      </c>
      <c r="C15" s="287">
        <v>119849.09601973763</v>
      </c>
      <c r="D15" s="287">
        <v>233860.69599348368</v>
      </c>
      <c r="E15" s="287">
        <v>221826.4375482972</v>
      </c>
      <c r="F15" s="287">
        <v>96871.504007417985</v>
      </c>
      <c r="G15" s="287">
        <v>156184.21951242111</v>
      </c>
      <c r="H15" s="47"/>
      <c r="I15" s="47"/>
      <c r="J15" s="47"/>
    </row>
    <row r="16" spans="1:10" outlineLevel="1">
      <c r="A16" s="247" t="s">
        <v>465</v>
      </c>
      <c r="B16" s="258" t="s">
        <v>466</v>
      </c>
      <c r="C16" s="287">
        <v>849635.18052725471</v>
      </c>
      <c r="D16" s="287">
        <v>821501.04722738708</v>
      </c>
      <c r="E16" s="287">
        <v>1106511.0464810231</v>
      </c>
      <c r="F16" s="287">
        <v>703315.33113523736</v>
      </c>
      <c r="G16" s="287">
        <v>846904.05761063832</v>
      </c>
      <c r="H16" s="47"/>
      <c r="I16" s="47"/>
      <c r="J16" s="47"/>
    </row>
    <row r="17" spans="1:10" outlineLevel="1">
      <c r="A17" s="247" t="s">
        <v>467</v>
      </c>
      <c r="B17" s="258" t="s">
        <v>468</v>
      </c>
      <c r="C17" s="287">
        <v>417919.17877126613</v>
      </c>
      <c r="D17" s="287">
        <v>602425.31546999689</v>
      </c>
      <c r="E17" s="287">
        <v>445403.16064468335</v>
      </c>
      <c r="F17" s="287">
        <v>690771.4945449956</v>
      </c>
      <c r="G17" s="287">
        <v>555063.02253754053</v>
      </c>
      <c r="H17" s="47"/>
      <c r="I17" s="47"/>
      <c r="J17" s="47"/>
    </row>
    <row r="18" spans="1:10" outlineLevel="1">
      <c r="A18" s="247" t="s">
        <v>469</v>
      </c>
      <c r="B18" s="258" t="s">
        <v>470</v>
      </c>
      <c r="C18" s="287">
        <v>715053.72939857247</v>
      </c>
      <c r="D18" s="287">
        <v>535674.70674926811</v>
      </c>
      <c r="E18" s="287">
        <v>812038.91993025097</v>
      </c>
      <c r="F18" s="287">
        <v>801011.75049047905</v>
      </c>
      <c r="G18" s="287">
        <v>564639.68318593351</v>
      </c>
      <c r="H18" s="47"/>
      <c r="I18" s="47"/>
      <c r="J18" s="47"/>
    </row>
    <row r="19" spans="1:10" outlineLevel="1">
      <c r="A19" s="247" t="s">
        <v>471</v>
      </c>
      <c r="B19" s="258" t="s">
        <v>472</v>
      </c>
      <c r="C19" s="287">
        <v>477632.44344554498</v>
      </c>
      <c r="D19" s="287">
        <v>507127.21602180437</v>
      </c>
      <c r="E19" s="287">
        <v>391893.22127882135</v>
      </c>
      <c r="F19" s="287">
        <v>614742.41413196514</v>
      </c>
      <c r="G19" s="287">
        <v>457736.03145945928</v>
      </c>
      <c r="H19" s="47"/>
      <c r="I19" s="47"/>
      <c r="J19" s="47"/>
    </row>
    <row r="20" spans="1:10" outlineLevel="1">
      <c r="A20" s="247" t="s">
        <v>473</v>
      </c>
      <c r="B20" s="258" t="s">
        <v>474</v>
      </c>
      <c r="C20" s="287">
        <v>625465.14926654822</v>
      </c>
      <c r="D20" s="287">
        <v>461285.82437479997</v>
      </c>
      <c r="E20" s="287">
        <v>445217.91723923112</v>
      </c>
      <c r="F20" s="287">
        <v>885170.58177525643</v>
      </c>
      <c r="G20" s="287">
        <v>429503.45452126517</v>
      </c>
      <c r="H20" s="47"/>
      <c r="I20" s="47"/>
      <c r="J20" s="47"/>
    </row>
    <row r="21" spans="1:10" outlineLevel="1">
      <c r="A21" s="247" t="s">
        <v>475</v>
      </c>
      <c r="B21" s="258" t="s">
        <v>476</v>
      </c>
      <c r="C21" s="287">
        <v>434751.24141767039</v>
      </c>
      <c r="D21" s="287">
        <v>495751.04800615966</v>
      </c>
      <c r="E21" s="287">
        <v>423645.21121386241</v>
      </c>
      <c r="F21" s="287">
        <v>364999.16026173945</v>
      </c>
      <c r="G21" s="287">
        <v>518448.86954955925</v>
      </c>
      <c r="H21" s="47"/>
      <c r="I21" s="47"/>
      <c r="J21" s="47"/>
    </row>
    <row r="22" spans="1:10" outlineLevel="1">
      <c r="A22" s="247" t="s">
        <v>477</v>
      </c>
      <c r="B22" s="258" t="s">
        <v>478</v>
      </c>
      <c r="C22" s="287">
        <v>375383.6938646537</v>
      </c>
      <c r="D22" s="287">
        <v>307515.48521548655</v>
      </c>
      <c r="E22" s="287">
        <v>254766.94917272104</v>
      </c>
      <c r="F22" s="287">
        <v>239009.72169143878</v>
      </c>
      <c r="G22" s="287">
        <v>144286.5119203965</v>
      </c>
      <c r="H22" s="47"/>
      <c r="I22" s="47"/>
      <c r="J22" s="47"/>
    </row>
    <row r="23" spans="1:10" outlineLevel="1">
      <c r="A23" s="247" t="s">
        <v>479</v>
      </c>
      <c r="B23" s="258" t="s">
        <v>480</v>
      </c>
      <c r="C23" s="287">
        <v>48233.67791170397</v>
      </c>
      <c r="D23" s="287">
        <v>65832.754110055845</v>
      </c>
      <c r="E23" s="287">
        <v>32710.703948288432</v>
      </c>
      <c r="F23" s="287">
        <v>42976.893478462182</v>
      </c>
      <c r="G23" s="287">
        <v>67681.16573634751</v>
      </c>
      <c r="H23" s="47"/>
      <c r="I23" s="47"/>
      <c r="J23" s="47"/>
    </row>
    <row r="24" spans="1:10" outlineLevel="1">
      <c r="A24" s="247" t="s">
        <v>481</v>
      </c>
      <c r="B24" s="258" t="s">
        <v>482</v>
      </c>
      <c r="C24" s="287">
        <v>58127.263563481996</v>
      </c>
      <c r="D24" s="287">
        <v>152019.41849097743</v>
      </c>
      <c r="E24" s="287">
        <v>94501.446951372214</v>
      </c>
      <c r="F24" s="287">
        <v>131542.0831853929</v>
      </c>
      <c r="G24" s="287">
        <v>229863.88427744163</v>
      </c>
      <c r="H24" s="47"/>
      <c r="I24" s="47"/>
      <c r="J24" s="47"/>
    </row>
    <row r="25" spans="1:10" outlineLevel="1">
      <c r="A25" s="247" t="s">
        <v>483</v>
      </c>
      <c r="B25" s="258" t="s">
        <v>484</v>
      </c>
      <c r="C25" s="287">
        <v>36548.735602513763</v>
      </c>
      <c r="D25" s="287">
        <v>17865.085728581515</v>
      </c>
      <c r="E25" s="287">
        <v>96946.236489846167</v>
      </c>
      <c r="F25" s="287">
        <v>13121.478455130276</v>
      </c>
      <c r="G25" s="287">
        <v>20981.832488662338</v>
      </c>
      <c r="H25" s="47"/>
      <c r="I25" s="47"/>
      <c r="J25" s="47"/>
    </row>
    <row r="26" spans="1:10" outlineLevel="1">
      <c r="A26" s="247" t="s">
        <v>485</v>
      </c>
      <c r="B26" s="258" t="s">
        <v>486</v>
      </c>
      <c r="C26" s="287">
        <v>62936.923342648864</v>
      </c>
      <c r="D26" s="287">
        <v>44408.772075922221</v>
      </c>
      <c r="E26" s="287">
        <v>160250.78860228712</v>
      </c>
      <c r="F26" s="287">
        <v>21624.044912022226</v>
      </c>
      <c r="G26" s="287">
        <v>36696.612766752027</v>
      </c>
      <c r="H26" s="47"/>
      <c r="I26" s="47"/>
      <c r="J26" s="47"/>
    </row>
    <row r="27" spans="1:10" outlineLevel="1">
      <c r="A27" s="247" t="s">
        <v>487</v>
      </c>
      <c r="B27" s="258" t="s">
        <v>488</v>
      </c>
      <c r="C27" s="287">
        <v>378108.88899229496</v>
      </c>
      <c r="D27" s="287">
        <v>190134.78403674654</v>
      </c>
      <c r="E27" s="287">
        <v>118922.77313910109</v>
      </c>
      <c r="F27" s="287">
        <v>131082.57368649638</v>
      </c>
      <c r="G27" s="287">
        <v>149716.47247439341</v>
      </c>
      <c r="H27" s="47"/>
      <c r="I27" s="47"/>
      <c r="J27" s="47"/>
    </row>
    <row r="28" spans="1:10" outlineLevel="1">
      <c r="A28" s="247"/>
      <c r="B28" s="258"/>
      <c r="C28" s="286"/>
      <c r="D28" s="286"/>
      <c r="E28" s="286"/>
      <c r="F28" s="286"/>
      <c r="G28" s="286"/>
      <c r="H28" s="47"/>
      <c r="I28" s="47"/>
      <c r="J28" s="47"/>
    </row>
    <row r="29" spans="1:10" ht="12.95" outlineLevel="1">
      <c r="A29" s="255"/>
      <c r="B29" s="323" t="s">
        <v>489</v>
      </c>
      <c r="C29" s="355"/>
      <c r="D29" s="355"/>
      <c r="E29" s="355"/>
      <c r="F29" s="355"/>
      <c r="G29" s="355"/>
      <c r="H29" s="47"/>
      <c r="I29" s="47"/>
      <c r="J29" s="47"/>
    </row>
    <row r="30" spans="1:10" outlineLevel="1">
      <c r="A30" s="247" t="s">
        <v>490</v>
      </c>
      <c r="B30" s="258" t="s">
        <v>491</v>
      </c>
      <c r="C30" s="287">
        <v>275672.88479183486</v>
      </c>
      <c r="D30" s="287">
        <v>316095.32463579549</v>
      </c>
      <c r="E30" s="287">
        <v>197395.69041023386</v>
      </c>
      <c r="F30" s="287">
        <v>244799.37201213706</v>
      </c>
      <c r="G30" s="287">
        <v>376965.88425396651</v>
      </c>
      <c r="H30" s="47"/>
      <c r="I30" s="47"/>
      <c r="J30" s="47"/>
    </row>
    <row r="31" spans="1:10" s="2" customFormat="1" ht="12.95" outlineLevel="1">
      <c r="A31" s="247" t="s">
        <v>492</v>
      </c>
      <c r="B31" s="258" t="s">
        <v>493</v>
      </c>
      <c r="C31" s="287">
        <v>1016195.6770793779</v>
      </c>
      <c r="D31" s="287">
        <v>756933.66435663309</v>
      </c>
      <c r="E31" s="287">
        <v>684190.80195632868</v>
      </c>
      <c r="F31" s="287">
        <v>917038.79871554719</v>
      </c>
      <c r="G31" s="287">
        <v>900709.43374485383</v>
      </c>
      <c r="H31" s="47"/>
      <c r="I31" s="209"/>
      <c r="J31" s="47"/>
    </row>
    <row r="32" spans="1:10" outlineLevel="1">
      <c r="A32" s="247" t="s">
        <v>494</v>
      </c>
      <c r="B32" s="258" t="s">
        <v>443</v>
      </c>
      <c r="C32" s="287">
        <v>25926.455320373188</v>
      </c>
      <c r="D32" s="287">
        <v>22732.435596875057</v>
      </c>
      <c r="E32" s="287">
        <v>15394.362113344299</v>
      </c>
      <c r="F32" s="287">
        <v>22956.103777287113</v>
      </c>
      <c r="G32" s="287">
        <v>26618.4188297689</v>
      </c>
      <c r="H32" s="47"/>
      <c r="I32" s="47"/>
      <c r="J32" s="47"/>
    </row>
    <row r="33" spans="1:10" s="207" customFormat="1" ht="15.6" outlineLevel="1">
      <c r="A33" s="247" t="s">
        <v>495</v>
      </c>
      <c r="B33" s="258" t="s">
        <v>496</v>
      </c>
      <c r="C33" s="287">
        <v>949513.87305210053</v>
      </c>
      <c r="D33" s="287">
        <v>958438.2652065513</v>
      </c>
      <c r="E33" s="287">
        <v>556923.07803503261</v>
      </c>
      <c r="F33" s="287">
        <v>854709.36788940779</v>
      </c>
      <c r="G33" s="287">
        <v>927659.27949032048</v>
      </c>
      <c r="H33" s="208"/>
      <c r="I33" s="210"/>
      <c r="J33" s="208"/>
    </row>
    <row r="34" spans="1:10" s="2" customFormat="1" ht="12.95">
      <c r="A34" s="247" t="s">
        <v>497</v>
      </c>
      <c r="B34" s="258" t="s">
        <v>498</v>
      </c>
      <c r="C34" s="287">
        <v>417224.46307413204</v>
      </c>
      <c r="D34" s="287">
        <v>296517.31960033881</v>
      </c>
      <c r="E34" s="287">
        <v>242001.87902968179</v>
      </c>
      <c r="F34" s="287">
        <v>381124.43992631161</v>
      </c>
      <c r="G34" s="287">
        <v>412102.85340018367</v>
      </c>
      <c r="H34" s="209"/>
      <c r="I34" s="209"/>
      <c r="J34" s="47"/>
    </row>
    <row r="35" spans="1:10" s="213" customFormat="1" ht="12.95">
      <c r="A35" s="247" t="s">
        <v>499</v>
      </c>
      <c r="B35" s="258" t="s">
        <v>500</v>
      </c>
      <c r="C35" s="287">
        <v>1996643.2934812913</v>
      </c>
      <c r="D35" s="287">
        <v>2154309.8836508249</v>
      </c>
      <c r="E35" s="287">
        <v>2055253.4601394394</v>
      </c>
      <c r="F35" s="287">
        <v>2061141.871658592</v>
      </c>
      <c r="G35" s="287">
        <v>3061031.0480961697</v>
      </c>
      <c r="H35" s="211"/>
      <c r="I35" s="211"/>
      <c r="J35" s="212"/>
    </row>
    <row r="36" spans="1:10">
      <c r="A36" s="247" t="s">
        <v>501</v>
      </c>
      <c r="B36" s="258" t="s">
        <v>434</v>
      </c>
      <c r="C36" s="287">
        <v>198793.37836771598</v>
      </c>
      <c r="D36" s="287">
        <v>298165.45664199261</v>
      </c>
      <c r="E36" s="287">
        <v>507188.18756554177</v>
      </c>
      <c r="F36" s="287">
        <v>352178.62295043888</v>
      </c>
      <c r="G36" s="287">
        <v>222602.87205057879</v>
      </c>
    </row>
    <row r="37" spans="1:10" s="219" customFormat="1" ht="18">
      <c r="A37" s="247" t="s">
        <v>502</v>
      </c>
      <c r="B37" s="258" t="s">
        <v>442</v>
      </c>
      <c r="C37" s="287">
        <v>301032.60114489828</v>
      </c>
      <c r="D37" s="287">
        <v>289370.5231646102</v>
      </c>
      <c r="E37" s="287">
        <v>203774.62646701947</v>
      </c>
      <c r="F37" s="287">
        <v>505131.24479139841</v>
      </c>
      <c r="G37" s="287">
        <v>329130.74429742154</v>
      </c>
    </row>
    <row r="38" spans="1:10">
      <c r="A38" s="247" t="s">
        <v>503</v>
      </c>
      <c r="B38" s="258" t="s">
        <v>504</v>
      </c>
      <c r="C38" s="287">
        <v>523126.84773079219</v>
      </c>
      <c r="D38" s="287">
        <v>522838.18557841086</v>
      </c>
      <c r="E38" s="287">
        <v>259842.40677536913</v>
      </c>
      <c r="F38" s="287">
        <v>631662.65263936459</v>
      </c>
      <c r="G38" s="287">
        <v>484655.70899318031</v>
      </c>
    </row>
    <row r="39" spans="1:10">
      <c r="A39" s="248" t="s">
        <v>505</v>
      </c>
      <c r="B39" s="259" t="s">
        <v>506</v>
      </c>
      <c r="C39" s="288">
        <v>71824.690229507425</v>
      </c>
      <c r="D39" s="288">
        <v>148648.83533873945</v>
      </c>
      <c r="E39" s="288">
        <v>114230.39889892899</v>
      </c>
      <c r="F39" s="288">
        <v>115912.30316706245</v>
      </c>
      <c r="G39" s="288">
        <v>132452.52805984832</v>
      </c>
    </row>
    <row r="40" spans="1:10" ht="12.95" thickBot="1">
      <c r="A40" s="245"/>
      <c r="B40" s="260"/>
      <c r="C40" s="289"/>
      <c r="D40" s="289"/>
      <c r="E40" s="289"/>
      <c r="F40" s="289"/>
      <c r="G40" s="289"/>
    </row>
    <row r="41" spans="1:10" ht="15.95" thickTop="1">
      <c r="A41" s="256"/>
      <c r="B41" s="261" t="s">
        <v>507</v>
      </c>
      <c r="C41" s="290">
        <v>10922445.732441209</v>
      </c>
      <c r="D41" s="290">
        <v>11193180.874870673</v>
      </c>
      <c r="E41" s="290">
        <v>10177153.292950075</v>
      </c>
      <c r="F41" s="290">
        <v>11261478.954073869</v>
      </c>
      <c r="G41" s="290">
        <v>11627647.159004072</v>
      </c>
    </row>
    <row r="42" spans="1:10">
      <c r="A42"/>
      <c r="B42"/>
      <c r="C42"/>
      <c r="D42"/>
      <c r="E42"/>
      <c r="F42"/>
      <c r="G42"/>
    </row>
    <row r="43" spans="1:10">
      <c r="A43"/>
      <c r="B43"/>
      <c r="C43"/>
      <c r="D43"/>
      <c r="E43"/>
      <c r="F43"/>
      <c r="G43"/>
    </row>
    <row r="44" spans="1:10">
      <c r="A44"/>
      <c r="B44"/>
      <c r="C44"/>
      <c r="D44"/>
      <c r="E44"/>
      <c r="F44"/>
      <c r="G44"/>
    </row>
    <row r="45" spans="1:10">
      <c r="A45"/>
      <c r="B45"/>
      <c r="C45"/>
      <c r="D45"/>
      <c r="E45"/>
      <c r="F45"/>
      <c r="G45"/>
    </row>
    <row r="46" spans="1:10">
      <c r="C46" s="262"/>
      <c r="D46" s="262"/>
      <c r="E46" s="262"/>
      <c r="F46" s="262"/>
      <c r="G46" s="263"/>
    </row>
    <row r="47" spans="1:10">
      <c r="C47" s="262"/>
      <c r="D47" s="262"/>
      <c r="E47" s="262"/>
      <c r="F47" s="262"/>
      <c r="G47" s="263"/>
    </row>
    <row r="48" spans="1:10">
      <c r="C48" s="262"/>
      <c r="D48" s="262"/>
      <c r="E48" s="262"/>
      <c r="F48" s="262"/>
      <c r="G48" s="263"/>
    </row>
    <row r="49" spans="3:7">
      <c r="C49" s="262"/>
      <c r="D49" s="262"/>
      <c r="E49" s="262"/>
      <c r="F49" s="262"/>
      <c r="G49" s="263"/>
    </row>
    <row r="50" spans="3:7">
      <c r="C50" s="262"/>
      <c r="D50" s="262"/>
      <c r="E50" s="262"/>
      <c r="F50" s="262"/>
      <c r="G50" s="263"/>
    </row>
    <row r="51" spans="3:7">
      <c r="C51" s="262"/>
      <c r="D51" s="262"/>
      <c r="E51" s="262"/>
      <c r="F51" s="262"/>
      <c r="G51" s="263"/>
    </row>
    <row r="52" spans="3:7">
      <c r="C52" s="262"/>
      <c r="D52" s="262"/>
      <c r="E52" s="262"/>
      <c r="F52" s="262"/>
      <c r="G52" s="263"/>
    </row>
    <row r="53" spans="3:7">
      <c r="C53" s="262"/>
      <c r="D53" s="262"/>
      <c r="E53" s="262"/>
      <c r="F53" s="262"/>
      <c r="G53" s="263"/>
    </row>
    <row r="54" spans="3:7">
      <c r="C54" s="262"/>
      <c r="D54" s="262"/>
      <c r="E54" s="262"/>
      <c r="F54" s="262"/>
      <c r="G54" s="263"/>
    </row>
    <row r="55" spans="3:7">
      <c r="C55" s="262"/>
      <c r="D55" s="262"/>
      <c r="E55" s="262"/>
      <c r="F55" s="262"/>
      <c r="G55" s="263"/>
    </row>
    <row r="56" spans="3:7">
      <c r="C56" s="262"/>
      <c r="D56" s="262"/>
      <c r="E56" s="262"/>
      <c r="F56" s="262"/>
      <c r="G56" s="263"/>
    </row>
    <row r="57" spans="3:7">
      <c r="C57" s="262"/>
      <c r="D57" s="262"/>
      <c r="E57" s="262"/>
      <c r="F57" s="262"/>
      <c r="G57" s="263"/>
    </row>
    <row r="58" spans="3:7">
      <c r="C58" s="262"/>
      <c r="D58" s="262"/>
      <c r="E58" s="262"/>
      <c r="F58" s="262"/>
      <c r="G58" s="263"/>
    </row>
    <row r="59" spans="3:7">
      <c r="C59" s="262"/>
      <c r="D59" s="262"/>
      <c r="E59" s="262"/>
      <c r="F59" s="262"/>
      <c r="G59" s="263"/>
    </row>
    <row r="60" spans="3:7">
      <c r="C60" s="262"/>
      <c r="D60" s="262"/>
      <c r="E60" s="262"/>
      <c r="F60" s="262"/>
      <c r="G60" s="263"/>
    </row>
    <row r="61" spans="3:7">
      <c r="C61" s="262"/>
      <c r="D61" s="262"/>
      <c r="E61" s="262"/>
      <c r="F61" s="262"/>
      <c r="G61" s="263"/>
    </row>
    <row r="62" spans="3:7">
      <c r="C62" s="262"/>
      <c r="D62" s="262"/>
      <c r="E62" s="262"/>
      <c r="F62" s="262"/>
      <c r="G62" s="263"/>
    </row>
    <row r="63" spans="3:7">
      <c r="C63" s="262"/>
      <c r="D63" s="262"/>
      <c r="E63" s="262"/>
      <c r="F63" s="262"/>
      <c r="G63" s="263"/>
    </row>
    <row r="64" spans="3:7">
      <c r="C64" s="262"/>
      <c r="D64" s="262"/>
      <c r="E64" s="262"/>
      <c r="F64" s="262"/>
      <c r="G64" s="263"/>
    </row>
    <row r="65" spans="3:7">
      <c r="C65" s="262"/>
      <c r="D65" s="262"/>
      <c r="E65" s="262"/>
      <c r="F65" s="262"/>
      <c r="G65" s="263"/>
    </row>
    <row r="66" spans="3:7">
      <c r="C66" s="262"/>
      <c r="D66" s="262"/>
      <c r="E66" s="262"/>
      <c r="F66" s="262"/>
      <c r="G66" s="263"/>
    </row>
    <row r="67" spans="3:7">
      <c r="C67" s="262"/>
      <c r="D67" s="262"/>
      <c r="E67" s="262"/>
      <c r="F67" s="262"/>
      <c r="G67" s="263"/>
    </row>
    <row r="68" spans="3:7">
      <c r="C68" s="262"/>
      <c r="D68" s="262"/>
      <c r="E68" s="262"/>
      <c r="F68" s="262"/>
      <c r="G68" s="263"/>
    </row>
    <row r="69" spans="3:7">
      <c r="C69" s="262"/>
      <c r="D69" s="262"/>
      <c r="E69" s="262"/>
      <c r="F69" s="262"/>
      <c r="G69" s="263"/>
    </row>
    <row r="70" spans="3:7">
      <c r="C70" s="262"/>
      <c r="D70" s="262"/>
      <c r="E70" s="262"/>
      <c r="F70" s="262"/>
      <c r="G70" s="263"/>
    </row>
    <row r="71" spans="3:7">
      <c r="C71" s="262"/>
      <c r="D71" s="262"/>
      <c r="E71" s="262"/>
      <c r="F71" s="262"/>
      <c r="G71" s="263"/>
    </row>
    <row r="72" spans="3:7">
      <c r="C72" s="262"/>
      <c r="D72" s="262"/>
      <c r="E72" s="262"/>
      <c r="F72" s="262"/>
      <c r="G72" s="263"/>
    </row>
    <row r="73" spans="3:7">
      <c r="C73" s="262"/>
      <c r="D73" s="262"/>
      <c r="E73" s="262"/>
      <c r="F73" s="262"/>
      <c r="G73" s="263"/>
    </row>
    <row r="74" spans="3:7">
      <c r="C74" s="262"/>
      <c r="D74" s="262"/>
      <c r="E74" s="262"/>
      <c r="F74" s="262"/>
      <c r="G74" s="263"/>
    </row>
    <row r="75" spans="3:7">
      <c r="C75" s="262"/>
      <c r="D75" s="262"/>
      <c r="E75" s="262"/>
      <c r="F75" s="262"/>
      <c r="G75" s="263"/>
    </row>
    <row r="76" spans="3:7">
      <c r="C76" s="262"/>
      <c r="D76" s="262"/>
      <c r="E76" s="262"/>
      <c r="F76" s="262"/>
      <c r="G76" s="263"/>
    </row>
    <row r="77" spans="3:7">
      <c r="C77" s="262"/>
      <c r="D77" s="262"/>
      <c r="E77" s="262"/>
      <c r="F77" s="262"/>
      <c r="G77" s="263"/>
    </row>
    <row r="78" spans="3:7">
      <c r="C78" s="262"/>
      <c r="D78" s="262"/>
      <c r="E78" s="262"/>
      <c r="F78" s="262"/>
      <c r="G78" s="263"/>
    </row>
    <row r="79" spans="3:7">
      <c r="C79" s="262"/>
      <c r="D79" s="262"/>
      <c r="E79" s="262"/>
      <c r="F79" s="262"/>
      <c r="G79" s="263"/>
    </row>
    <row r="80" spans="3:7">
      <c r="C80" s="262"/>
      <c r="D80" s="262"/>
      <c r="E80" s="262"/>
      <c r="F80" s="262"/>
      <c r="G80" s="263"/>
    </row>
    <row r="81" spans="3:7">
      <c r="C81" s="262"/>
      <c r="D81" s="262"/>
      <c r="E81" s="262"/>
      <c r="F81" s="262"/>
      <c r="G81" s="263"/>
    </row>
    <row r="82" spans="3:7">
      <c r="C82" s="262"/>
      <c r="D82" s="262"/>
      <c r="E82" s="262"/>
      <c r="F82" s="262"/>
      <c r="G82" s="263"/>
    </row>
    <row r="83" spans="3:7">
      <c r="C83" s="262"/>
      <c r="D83" s="262"/>
      <c r="E83" s="262"/>
      <c r="F83" s="262"/>
      <c r="G83" s="263"/>
    </row>
    <row r="84" spans="3:7">
      <c r="C84" s="262"/>
      <c r="D84" s="262"/>
      <c r="E84" s="262"/>
      <c r="F84" s="262"/>
      <c r="G84" s="263"/>
    </row>
    <row r="85" spans="3:7">
      <c r="C85" s="262"/>
      <c r="D85" s="262"/>
      <c r="E85" s="262"/>
      <c r="F85" s="262"/>
      <c r="G85" s="263"/>
    </row>
    <row r="86" spans="3:7">
      <c r="C86" s="262"/>
      <c r="D86" s="262"/>
      <c r="E86" s="262"/>
      <c r="F86" s="262"/>
      <c r="G86" s="263"/>
    </row>
    <row r="87" spans="3:7">
      <c r="C87" s="262"/>
      <c r="D87" s="262"/>
      <c r="E87" s="262"/>
      <c r="F87" s="262"/>
      <c r="G87" s="263"/>
    </row>
    <row r="88" spans="3:7">
      <c r="C88" s="262"/>
      <c r="D88" s="262"/>
      <c r="E88" s="262"/>
      <c r="F88" s="262"/>
      <c r="G88" s="263"/>
    </row>
    <row r="89" spans="3:7">
      <c r="C89" s="262"/>
      <c r="D89" s="262"/>
      <c r="E89" s="262"/>
      <c r="F89" s="262"/>
      <c r="G89" s="263"/>
    </row>
    <row r="90" spans="3:7">
      <c r="C90" s="262"/>
      <c r="D90" s="262"/>
      <c r="E90" s="262"/>
      <c r="F90" s="262"/>
      <c r="G90" s="263"/>
    </row>
    <row r="91" spans="3:7">
      <c r="C91" s="262"/>
      <c r="D91" s="262"/>
      <c r="E91" s="262"/>
      <c r="F91" s="262"/>
      <c r="G91" s="263"/>
    </row>
    <row r="92" spans="3:7">
      <c r="C92" s="262"/>
      <c r="D92" s="262"/>
      <c r="E92" s="262"/>
      <c r="F92" s="262"/>
      <c r="G92" s="263"/>
    </row>
    <row r="93" spans="3:7">
      <c r="C93" s="262"/>
      <c r="D93" s="262"/>
      <c r="E93" s="262"/>
      <c r="F93" s="262"/>
      <c r="G93" s="263"/>
    </row>
    <row r="94" spans="3:7">
      <c r="C94" s="262"/>
      <c r="D94" s="262"/>
      <c r="E94" s="262"/>
      <c r="F94" s="262"/>
      <c r="G94" s="263"/>
    </row>
    <row r="95" spans="3:7">
      <c r="C95" s="262"/>
      <c r="D95" s="262"/>
      <c r="E95" s="262"/>
      <c r="F95" s="262"/>
      <c r="G95" s="263"/>
    </row>
    <row r="96" spans="3:7">
      <c r="C96" s="262"/>
      <c r="D96" s="262"/>
      <c r="E96" s="262"/>
      <c r="F96" s="262"/>
      <c r="G96" s="263"/>
    </row>
    <row r="97" spans="3:7">
      <c r="C97" s="262"/>
      <c r="D97" s="262"/>
      <c r="E97" s="262"/>
      <c r="F97" s="262"/>
      <c r="G97" s="263"/>
    </row>
    <row r="98" spans="3:7">
      <c r="C98" s="262"/>
      <c r="D98" s="262"/>
      <c r="E98" s="262"/>
      <c r="F98" s="262"/>
      <c r="G98" s="263"/>
    </row>
    <row r="99" spans="3:7">
      <c r="C99" s="262"/>
      <c r="D99" s="262"/>
      <c r="E99" s="262"/>
      <c r="F99" s="262"/>
      <c r="G99" s="263"/>
    </row>
    <row r="100" spans="3:7">
      <c r="C100" s="262"/>
      <c r="D100" s="262"/>
      <c r="E100" s="262"/>
      <c r="F100" s="262"/>
      <c r="G100" s="263"/>
    </row>
    <row r="101" spans="3:7">
      <c r="C101" s="262"/>
      <c r="D101" s="262"/>
      <c r="E101" s="262"/>
      <c r="F101" s="262"/>
      <c r="G101" s="263"/>
    </row>
    <row r="102" spans="3:7">
      <c r="C102" s="262"/>
      <c r="D102" s="262"/>
      <c r="E102" s="262"/>
      <c r="F102" s="262"/>
      <c r="G102" s="263"/>
    </row>
    <row r="103" spans="3:7">
      <c r="C103" s="262"/>
      <c r="D103" s="262"/>
      <c r="E103" s="262"/>
      <c r="F103" s="262"/>
      <c r="G103" s="263"/>
    </row>
    <row r="104" spans="3:7">
      <c r="C104" s="262"/>
      <c r="D104" s="262"/>
      <c r="E104" s="262"/>
      <c r="F104" s="262"/>
      <c r="G104" s="263"/>
    </row>
    <row r="105" spans="3:7">
      <c r="C105" s="262"/>
      <c r="D105" s="262"/>
      <c r="E105" s="262"/>
      <c r="F105" s="262"/>
      <c r="G105" s="263"/>
    </row>
    <row r="106" spans="3:7">
      <c r="C106" s="262"/>
      <c r="D106" s="262"/>
      <c r="E106" s="262"/>
      <c r="F106" s="262"/>
      <c r="G106" s="263"/>
    </row>
    <row r="107" spans="3:7">
      <c r="C107" s="262"/>
      <c r="D107" s="262"/>
      <c r="E107" s="262"/>
      <c r="F107" s="262"/>
      <c r="G107" s="263"/>
    </row>
    <row r="108" spans="3:7">
      <c r="C108" s="262"/>
      <c r="D108" s="262"/>
      <c r="E108" s="262"/>
      <c r="F108" s="262"/>
      <c r="G108" s="263"/>
    </row>
    <row r="109" spans="3:7">
      <c r="C109" s="262"/>
      <c r="D109" s="262"/>
      <c r="E109" s="262"/>
      <c r="F109" s="262"/>
      <c r="G109" s="263"/>
    </row>
    <row r="110" spans="3:7">
      <c r="C110" s="262"/>
      <c r="D110" s="262"/>
      <c r="E110" s="262"/>
      <c r="F110" s="262"/>
      <c r="G110" s="263"/>
    </row>
    <row r="111" spans="3:7">
      <c r="C111" s="262"/>
      <c r="D111" s="262"/>
      <c r="E111" s="262"/>
      <c r="F111" s="262"/>
      <c r="G111" s="263"/>
    </row>
    <row r="112" spans="3:7">
      <c r="C112" s="262"/>
      <c r="D112" s="262"/>
      <c r="E112" s="262"/>
      <c r="F112" s="262"/>
      <c r="G112" s="263"/>
    </row>
    <row r="113" spans="3:7">
      <c r="C113" s="262"/>
      <c r="D113" s="262"/>
      <c r="E113" s="262"/>
      <c r="F113" s="262"/>
      <c r="G113" s="263"/>
    </row>
    <row r="114" spans="3:7">
      <c r="C114" s="262"/>
      <c r="D114" s="262"/>
      <c r="E114" s="262"/>
      <c r="F114" s="262"/>
      <c r="G114" s="263"/>
    </row>
    <row r="115" spans="3:7">
      <c r="C115" s="262"/>
      <c r="D115" s="262"/>
      <c r="E115" s="262"/>
      <c r="F115" s="262"/>
      <c r="G115" s="263"/>
    </row>
    <row r="116" spans="3:7">
      <c r="C116" s="262"/>
      <c r="D116" s="262"/>
      <c r="E116" s="262"/>
      <c r="F116" s="262"/>
      <c r="G116" s="263"/>
    </row>
    <row r="117" spans="3:7">
      <c r="C117" s="262"/>
      <c r="D117" s="262"/>
      <c r="E117" s="262"/>
      <c r="F117" s="262"/>
      <c r="G117" s="263"/>
    </row>
    <row r="118" spans="3:7">
      <c r="C118" s="262"/>
      <c r="D118" s="262"/>
      <c r="E118" s="262"/>
      <c r="F118" s="262"/>
      <c r="G118" s="263"/>
    </row>
    <row r="119" spans="3:7">
      <c r="C119" s="262"/>
      <c r="D119" s="262"/>
      <c r="E119" s="262"/>
      <c r="F119" s="262"/>
      <c r="G119" s="263"/>
    </row>
    <row r="120" spans="3:7">
      <c r="C120" s="262"/>
      <c r="D120" s="262"/>
      <c r="E120" s="262"/>
      <c r="F120" s="262"/>
      <c r="G120" s="263"/>
    </row>
    <row r="121" spans="3:7">
      <c r="C121" s="262"/>
      <c r="D121" s="262"/>
      <c r="E121" s="262"/>
      <c r="F121" s="262"/>
      <c r="G121" s="263"/>
    </row>
    <row r="122" spans="3:7">
      <c r="C122" s="262"/>
      <c r="D122" s="262"/>
      <c r="E122" s="262"/>
      <c r="F122" s="262"/>
      <c r="G122" s="263"/>
    </row>
    <row r="123" spans="3:7">
      <c r="C123" s="262"/>
      <c r="D123" s="262"/>
      <c r="E123" s="262"/>
      <c r="F123" s="262"/>
      <c r="G123" s="263"/>
    </row>
    <row r="124" spans="3:7">
      <c r="C124" s="262"/>
      <c r="D124" s="262"/>
      <c r="E124" s="262"/>
      <c r="F124" s="262"/>
      <c r="G124" s="263"/>
    </row>
    <row r="125" spans="3:7">
      <c r="C125" s="262"/>
      <c r="D125" s="262"/>
      <c r="E125" s="262"/>
      <c r="F125" s="262"/>
      <c r="G125" s="263"/>
    </row>
    <row r="126" spans="3:7">
      <c r="C126" s="262"/>
      <c r="D126" s="262"/>
      <c r="E126" s="262"/>
      <c r="F126" s="262"/>
      <c r="G126" s="263"/>
    </row>
    <row r="127" spans="3:7">
      <c r="C127" s="262"/>
      <c r="D127" s="262"/>
      <c r="E127" s="262"/>
      <c r="F127" s="262"/>
      <c r="G127" s="263"/>
    </row>
    <row r="128" spans="3:7">
      <c r="C128" s="262"/>
      <c r="D128" s="262"/>
      <c r="E128" s="262"/>
      <c r="F128" s="262"/>
      <c r="G128" s="263"/>
    </row>
    <row r="129" spans="3:7">
      <c r="C129" s="262"/>
      <c r="D129" s="262"/>
      <c r="E129" s="262"/>
      <c r="F129" s="262"/>
      <c r="G129" s="263"/>
    </row>
    <row r="130" spans="3:7">
      <c r="C130" s="262"/>
      <c r="D130" s="262"/>
      <c r="E130" s="262"/>
      <c r="F130" s="262"/>
      <c r="G130" s="263"/>
    </row>
    <row r="131" spans="3:7">
      <c r="C131" s="262"/>
      <c r="D131" s="262"/>
      <c r="E131" s="262"/>
      <c r="F131" s="262"/>
      <c r="G131" s="263"/>
    </row>
    <row r="132" spans="3:7">
      <c r="C132" s="262"/>
      <c r="D132" s="262"/>
      <c r="E132" s="262"/>
      <c r="F132" s="262"/>
      <c r="G132" s="263"/>
    </row>
    <row r="133" spans="3:7">
      <c r="C133" s="262"/>
      <c r="D133" s="262"/>
      <c r="E133" s="262"/>
      <c r="F133" s="262"/>
      <c r="G133" s="263"/>
    </row>
    <row r="134" spans="3:7">
      <c r="C134" s="262"/>
      <c r="D134" s="262"/>
      <c r="E134" s="262"/>
      <c r="F134" s="262"/>
      <c r="G134" s="263"/>
    </row>
    <row r="135" spans="3:7">
      <c r="C135" s="262"/>
      <c r="D135" s="262"/>
      <c r="E135" s="262"/>
      <c r="F135" s="262"/>
      <c r="G135" s="263"/>
    </row>
    <row r="136" spans="3:7">
      <c r="C136" s="262"/>
      <c r="D136" s="262"/>
      <c r="E136" s="262"/>
      <c r="F136" s="262"/>
      <c r="G136" s="263"/>
    </row>
    <row r="137" spans="3:7">
      <c r="C137" s="262"/>
      <c r="D137" s="262"/>
      <c r="E137" s="262"/>
      <c r="F137" s="262"/>
      <c r="G137" s="263"/>
    </row>
    <row r="138" spans="3:7">
      <c r="C138" s="262"/>
      <c r="D138" s="262"/>
      <c r="E138" s="262"/>
      <c r="F138" s="262"/>
      <c r="G138" s="263"/>
    </row>
    <row r="139" spans="3:7">
      <c r="C139" s="262"/>
      <c r="D139" s="262"/>
      <c r="E139" s="262"/>
      <c r="F139" s="262"/>
      <c r="G139" s="263"/>
    </row>
    <row r="140" spans="3:7">
      <c r="C140" s="262"/>
      <c r="D140" s="262"/>
      <c r="E140" s="262"/>
      <c r="F140" s="262"/>
      <c r="G140" s="263"/>
    </row>
    <row r="141" spans="3:7">
      <c r="C141" s="262"/>
      <c r="D141" s="262"/>
      <c r="E141" s="262"/>
      <c r="F141" s="262"/>
      <c r="G141" s="263"/>
    </row>
    <row r="142" spans="3:7">
      <c r="C142" s="262"/>
      <c r="D142" s="262"/>
      <c r="E142" s="262"/>
      <c r="F142" s="262"/>
      <c r="G142" s="263"/>
    </row>
    <row r="143" spans="3:7">
      <c r="C143" s="262"/>
      <c r="D143" s="262"/>
      <c r="E143" s="262"/>
      <c r="F143" s="262"/>
      <c r="G143" s="263"/>
    </row>
    <row r="144" spans="3:7">
      <c r="C144" s="262"/>
      <c r="D144" s="262"/>
      <c r="E144" s="262"/>
      <c r="F144" s="262"/>
      <c r="G144" s="263"/>
    </row>
    <row r="145" spans="3:7">
      <c r="C145" s="262"/>
      <c r="D145" s="262"/>
      <c r="E145" s="262"/>
      <c r="F145" s="262"/>
      <c r="G145" s="263"/>
    </row>
    <row r="146" spans="3:7">
      <c r="C146" s="262"/>
      <c r="D146" s="262"/>
      <c r="E146" s="262"/>
      <c r="F146" s="262"/>
      <c r="G146" s="263"/>
    </row>
  </sheetData>
  <mergeCells count="11">
    <mergeCell ref="B14:G14"/>
    <mergeCell ref="B29:G29"/>
    <mergeCell ref="F9"/>
    <mergeCell ref="G9"/>
    <mergeCell ref="D9"/>
    <mergeCell ref="E9"/>
    <mergeCell ref="A2:B2"/>
    <mergeCell ref="A3:B3"/>
    <mergeCell ref="A4:B4"/>
    <mergeCell ref="A6:B6"/>
    <mergeCell ref="B11:G11"/>
  </mergeCells>
  <phoneticPr fontId="32" type="noConversion"/>
  <printOptions horizontalCentered="1"/>
  <pageMargins left="0.69930555555555596" right="0.69930555555555596" top="0.75" bottom="0.75" header="0.3" footer="0.3"/>
  <pageSetup paperSize="9" scale="2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C3B6-0DD0-4310-B9B6-F0082F05AAB8}">
  <dimension ref="A1:C31"/>
  <sheetViews>
    <sheetView workbookViewId="0">
      <selection activeCell="B22" sqref="B22"/>
    </sheetView>
  </sheetViews>
  <sheetFormatPr defaultColWidth="8.83203125" defaultRowHeight="12"/>
  <cols>
    <col min="1" max="2" width="51.1640625" style="242" customWidth="1"/>
    <col min="3" max="3" width="17.83203125" style="242" customWidth="1"/>
    <col min="4" max="16384" width="8.83203125" style="242"/>
  </cols>
  <sheetData>
    <row r="1" spans="1:3" s="243" customFormat="1" ht="12.95">
      <c r="A1" s="264" t="s">
        <v>508</v>
      </c>
      <c r="B1" s="264" t="s">
        <v>509</v>
      </c>
      <c r="C1"/>
    </row>
    <row r="2" spans="1:3">
      <c r="A2" s="265" t="s">
        <v>460</v>
      </c>
      <c r="B2" s="265" t="s">
        <v>433</v>
      </c>
      <c r="C2"/>
    </row>
    <row r="3" spans="1:3">
      <c r="A3" s="265" t="s">
        <v>464</v>
      </c>
      <c r="B3" s="265" t="s">
        <v>433</v>
      </c>
      <c r="C3"/>
    </row>
    <row r="4" spans="1:3">
      <c r="A4" s="265" t="s">
        <v>466</v>
      </c>
      <c r="B4" s="265" t="s">
        <v>428</v>
      </c>
      <c r="C4"/>
    </row>
    <row r="5" spans="1:3">
      <c r="A5" s="265" t="s">
        <v>468</v>
      </c>
      <c r="B5" s="265" t="s">
        <v>438</v>
      </c>
      <c r="C5"/>
    </row>
    <row r="6" spans="1:3">
      <c r="A6" s="265" t="s">
        <v>470</v>
      </c>
      <c r="B6" s="265" t="s">
        <v>439</v>
      </c>
      <c r="C6"/>
    </row>
    <row r="7" spans="1:3">
      <c r="A7" s="265" t="s">
        <v>472</v>
      </c>
      <c r="B7" s="265" t="s">
        <v>429</v>
      </c>
      <c r="C7"/>
    </row>
    <row r="8" spans="1:3">
      <c r="A8" s="265" t="s">
        <v>474</v>
      </c>
      <c r="B8" s="265" t="s">
        <v>432</v>
      </c>
      <c r="C8"/>
    </row>
    <row r="9" spans="1:3">
      <c r="A9" s="265" t="s">
        <v>476</v>
      </c>
      <c r="B9" s="265" t="s">
        <v>430</v>
      </c>
      <c r="C9"/>
    </row>
    <row r="10" spans="1:3">
      <c r="A10" s="265" t="s">
        <v>478</v>
      </c>
      <c r="B10" s="265" t="s">
        <v>430</v>
      </c>
      <c r="C10"/>
    </row>
    <row r="11" spans="1:3">
      <c r="A11" s="265" t="s">
        <v>480</v>
      </c>
      <c r="B11" s="265" t="s">
        <v>430</v>
      </c>
      <c r="C11"/>
    </row>
    <row r="12" spans="1:3">
      <c r="A12" s="265" t="s">
        <v>482</v>
      </c>
      <c r="B12" s="265" t="s">
        <v>438</v>
      </c>
      <c r="C12"/>
    </row>
    <row r="13" spans="1:3">
      <c r="A13" s="265" t="s">
        <v>484</v>
      </c>
      <c r="B13" s="265" t="s">
        <v>431</v>
      </c>
      <c r="C13"/>
    </row>
    <row r="14" spans="1:3">
      <c r="A14" s="265" t="s">
        <v>486</v>
      </c>
      <c r="B14" s="265" t="s">
        <v>440</v>
      </c>
      <c r="C14"/>
    </row>
    <row r="15" spans="1:3">
      <c r="A15" s="265" t="s">
        <v>488</v>
      </c>
      <c r="B15" s="265" t="s">
        <v>433</v>
      </c>
      <c r="C15"/>
    </row>
    <row r="16" spans="1:3">
      <c r="A16" s="265" t="s">
        <v>491</v>
      </c>
      <c r="B16" s="265" t="s">
        <v>435</v>
      </c>
      <c r="C16"/>
    </row>
    <row r="17" spans="1:3">
      <c r="A17" s="265" t="s">
        <v>493</v>
      </c>
      <c r="B17" s="265" t="s">
        <v>436</v>
      </c>
      <c r="C17"/>
    </row>
    <row r="18" spans="1:3">
      <c r="A18" s="265" t="s">
        <v>443</v>
      </c>
      <c r="B18" s="265" t="s">
        <v>443</v>
      </c>
      <c r="C18"/>
    </row>
    <row r="19" spans="1:3">
      <c r="A19" s="265" t="s">
        <v>496</v>
      </c>
      <c r="B19" s="265" t="s">
        <v>444</v>
      </c>
      <c r="C19"/>
    </row>
    <row r="20" spans="1:3">
      <c r="A20" s="265" t="s">
        <v>498</v>
      </c>
      <c r="B20" s="265" t="s">
        <v>445</v>
      </c>
      <c r="C20"/>
    </row>
    <row r="21" spans="1:3">
      <c r="A21" s="265" t="s">
        <v>500</v>
      </c>
      <c r="B21" s="265" t="s">
        <v>437</v>
      </c>
      <c r="C21"/>
    </row>
    <row r="22" spans="1:3">
      <c r="A22" s="265" t="s">
        <v>434</v>
      </c>
      <c r="B22" s="265" t="s">
        <v>434</v>
      </c>
      <c r="C22"/>
    </row>
    <row r="23" spans="1:3">
      <c r="A23" s="265" t="s">
        <v>442</v>
      </c>
      <c r="B23" s="265" t="s">
        <v>442</v>
      </c>
      <c r="C23"/>
    </row>
    <row r="24" spans="1:3">
      <c r="A24" s="265" t="s">
        <v>504</v>
      </c>
      <c r="B24" s="265" t="s">
        <v>446</v>
      </c>
      <c r="C24"/>
    </row>
    <row r="25" spans="1:3">
      <c r="A25" s="266" t="s">
        <v>506</v>
      </c>
      <c r="B25" s="266" t="s">
        <v>441</v>
      </c>
      <c r="C25"/>
    </row>
    <row r="26" spans="1:3">
      <c r="A26"/>
      <c r="B26"/>
      <c r="C26"/>
    </row>
    <row r="27" spans="1:3">
      <c r="A27"/>
      <c r="B27"/>
      <c r="C27"/>
    </row>
    <row r="28" spans="1:3">
      <c r="A28"/>
      <c r="B28"/>
      <c r="C28"/>
    </row>
    <row r="29" spans="1:3">
      <c r="A29"/>
      <c r="B29"/>
      <c r="C29"/>
    </row>
    <row r="30" spans="1:3">
      <c r="A30"/>
      <c r="B30"/>
      <c r="C30"/>
    </row>
    <row r="31" spans="1:3">
      <c r="A31"/>
      <c r="B31"/>
      <c r="C3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32BAF-C60C-4804-A895-D7A65BDE44CD}">
  <dimension ref="A2:B23"/>
  <sheetViews>
    <sheetView topLeftCell="A7" workbookViewId="0">
      <selection activeCell="B13" sqref="B13"/>
    </sheetView>
  </sheetViews>
  <sheetFormatPr defaultRowHeight="12"/>
  <cols>
    <col min="1" max="1" width="54.5" customWidth="1"/>
    <col min="2" max="2" width="38.83203125" customWidth="1"/>
  </cols>
  <sheetData>
    <row r="2" spans="1:2">
      <c r="A2" s="274" t="s">
        <v>510</v>
      </c>
      <c r="B2" s="278" t="s">
        <v>511</v>
      </c>
    </row>
    <row r="3" spans="1:2">
      <c r="A3" s="275" t="s">
        <v>428</v>
      </c>
      <c r="B3" s="293">
        <v>295.20900742748313</v>
      </c>
    </row>
    <row r="4" spans="1:2">
      <c r="A4" s="275" t="s">
        <v>437</v>
      </c>
      <c r="B4" s="293">
        <v>475.84637993423996</v>
      </c>
    </row>
    <row r="5" spans="1:2">
      <c r="A5" s="275" t="s">
        <v>433</v>
      </c>
      <c r="B5" s="293">
        <v>300.68781671743704</v>
      </c>
    </row>
    <row r="6" spans="1:2">
      <c r="A6" s="275" t="s">
        <v>439</v>
      </c>
      <c r="B6" s="293">
        <v>184.19163487746133</v>
      </c>
    </row>
    <row r="7" spans="1:2">
      <c r="A7" s="275" t="s">
        <v>444</v>
      </c>
      <c r="B7" s="293">
        <v>143.81158100969623</v>
      </c>
    </row>
    <row r="8" spans="1:2">
      <c r="A8" s="275" t="s">
        <v>438</v>
      </c>
      <c r="B8" s="293">
        <v>150.31213081110062</v>
      </c>
    </row>
    <row r="9" spans="1:2">
      <c r="A9" s="275" t="s">
        <v>430</v>
      </c>
      <c r="B9" s="293">
        <v>195.3360942023856</v>
      </c>
    </row>
    <row r="10" spans="1:2">
      <c r="A10" s="275" t="s">
        <v>436</v>
      </c>
      <c r="B10" s="293">
        <v>185.24809263491576</v>
      </c>
    </row>
    <row r="11" spans="1:2">
      <c r="A11" s="275" t="s">
        <v>432</v>
      </c>
      <c r="B11" s="293">
        <v>103.39388255755975</v>
      </c>
    </row>
    <row r="12" spans="1:2">
      <c r="A12" s="275" t="s">
        <v>429</v>
      </c>
      <c r="B12" s="293">
        <v>89.279767669905326</v>
      </c>
    </row>
    <row r="13" spans="1:2">
      <c r="A13" s="275" t="s">
        <v>443</v>
      </c>
      <c r="B13" s="293">
        <v>3.0665501941822413</v>
      </c>
    </row>
    <row r="14" spans="1:2">
      <c r="A14" s="275" t="s">
        <v>442</v>
      </c>
      <c r="B14" s="293">
        <v>56.271795902561209</v>
      </c>
    </row>
    <row r="15" spans="1:2">
      <c r="A15" s="275" t="s">
        <v>445</v>
      </c>
      <c r="B15" s="293">
        <v>53.350710238698028</v>
      </c>
    </row>
    <row r="16" spans="1:2">
      <c r="A16" s="275" t="s">
        <v>434</v>
      </c>
      <c r="B16" s="293">
        <v>132.16614991212163</v>
      </c>
    </row>
    <row r="17" spans="1:2">
      <c r="A17" s="275" t="s">
        <v>435</v>
      </c>
      <c r="B17" s="293">
        <v>45.451333538614293</v>
      </c>
    </row>
    <row r="18" spans="1:2">
      <c r="A18" s="275" t="s">
        <v>440</v>
      </c>
      <c r="B18" s="293">
        <v>40.143794676327936</v>
      </c>
    </row>
    <row r="19" spans="1:2">
      <c r="A19" s="275" t="s">
        <v>441</v>
      </c>
      <c r="B19" s="293">
        <v>24.695994356168423</v>
      </c>
    </row>
    <row r="20" spans="1:2">
      <c r="A20" s="275" t="s">
        <v>431</v>
      </c>
      <c r="B20" s="293">
        <v>21.537283339138934</v>
      </c>
    </row>
    <row r="21" spans="1:2">
      <c r="A21" s="275"/>
      <c r="B21" s="293"/>
    </row>
    <row r="22" spans="1:2">
      <c r="A22" s="276" t="s">
        <v>512</v>
      </c>
      <c r="B22" s="294">
        <v>2499.9999999999968</v>
      </c>
    </row>
    <row r="23" spans="1:2">
      <c r="B23" s="27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77628-23FC-44E1-9136-007E03BEBC61}">
  <dimension ref="A1:BD182"/>
  <sheetViews>
    <sheetView view="pageBreakPreview" zoomScale="50" zoomScaleNormal="100" zoomScaleSheetLayoutView="50" workbookViewId="0">
      <pane xSplit="2" ySplit="12" topLeftCell="AA157" activePane="bottomRight" state="frozen"/>
      <selection pane="bottomRight" activeCell="AD180" sqref="AD180"/>
      <selection pane="bottomLeft" activeCell="V173" sqref="V173"/>
      <selection pane="topRight" activeCell="V173" sqref="V173"/>
    </sheetView>
  </sheetViews>
  <sheetFormatPr defaultColWidth="8.83203125" defaultRowHeight="12" outlineLevelCol="1"/>
  <cols>
    <col min="1" max="1" width="8.83203125" style="183"/>
    <col min="2" max="2" width="77.6640625" style="183" customWidth="1"/>
    <col min="3" max="4" width="13.1640625" style="183" customWidth="1"/>
    <col min="5" max="11" width="9.33203125" style="183" hidden="1" customWidth="1" outlineLevel="1"/>
    <col min="12" max="12" width="8.83203125" style="183" collapsed="1"/>
    <col min="13" max="18" width="9.33203125" style="183" hidden="1" customWidth="1" outlineLevel="1"/>
    <col min="19" max="19" width="8.83203125" style="183" collapsed="1"/>
    <col min="20" max="26" width="9.33203125" style="183" customWidth="1" outlineLevel="1"/>
    <col min="27" max="27" width="8.83203125" style="183"/>
    <col min="28" max="33" width="9.33203125" style="183" customWidth="1" outlineLevel="1"/>
    <col min="34" max="38" width="8.83203125" style="183"/>
    <col min="39" max="39" width="9.33203125" style="183" customWidth="1" outlineLevel="1"/>
    <col min="40" max="44" width="12.5" style="183" customWidth="1" outlineLevel="1"/>
    <col min="45" max="45" width="14.33203125" style="183" customWidth="1" outlineLevel="1"/>
    <col min="46" max="46" width="12.5" style="183" customWidth="1"/>
    <col min="47" max="51" width="13.33203125" style="183" customWidth="1" outlineLevel="1"/>
    <col min="52" max="52" width="9.33203125" style="183" customWidth="1" outlineLevel="1"/>
    <col min="53" max="53" width="12.83203125" style="183" customWidth="1"/>
    <col min="54" max="16384" width="8.83203125" style="183"/>
  </cols>
  <sheetData>
    <row r="1" spans="1:56" s="67" customFormat="1" ht="11.45">
      <c r="A1" s="57"/>
      <c r="B1" s="58"/>
      <c r="C1" s="59"/>
      <c r="D1" s="59"/>
      <c r="E1" s="59"/>
      <c r="F1" s="60"/>
      <c r="G1" s="60"/>
      <c r="H1" s="60"/>
      <c r="I1" s="60"/>
      <c r="J1" s="60"/>
      <c r="K1" s="60"/>
      <c r="L1" s="61"/>
      <c r="M1" s="60"/>
      <c r="N1" s="60"/>
      <c r="O1" s="60"/>
      <c r="P1" s="60"/>
      <c r="Q1" s="60"/>
      <c r="R1" s="60"/>
      <c r="S1" s="61"/>
      <c r="T1" s="62"/>
      <c r="U1" s="62"/>
      <c r="V1" s="62"/>
      <c r="W1" s="62"/>
      <c r="X1" s="62"/>
      <c r="Y1" s="62"/>
      <c r="Z1" s="62"/>
      <c r="AA1" s="63"/>
      <c r="AB1" s="62"/>
      <c r="AC1" s="62"/>
      <c r="AD1" s="62"/>
      <c r="AE1" s="62"/>
      <c r="AF1" s="62"/>
      <c r="AG1" s="62"/>
      <c r="AH1" s="63"/>
      <c r="AI1" s="57"/>
      <c r="AJ1" s="61"/>
      <c r="AK1" s="61"/>
      <c r="AL1" s="64"/>
      <c r="AM1" s="65"/>
      <c r="AN1" s="65"/>
      <c r="AO1" s="65"/>
      <c r="AP1" s="48"/>
      <c r="AQ1" s="65"/>
      <c r="AR1" s="65"/>
      <c r="AS1" s="65"/>
      <c r="AT1" s="48"/>
      <c r="AU1" s="65"/>
      <c r="AV1" s="65"/>
      <c r="AW1" s="48"/>
      <c r="AX1" s="65"/>
      <c r="AY1" s="65"/>
      <c r="AZ1" s="65"/>
      <c r="BA1" s="48"/>
      <c r="BB1" s="66"/>
    </row>
    <row r="2" spans="1:56" s="75" customFormat="1" ht="11.45">
      <c r="A2" s="68" t="s">
        <v>513</v>
      </c>
      <c r="B2" s="69"/>
      <c r="C2" s="69"/>
      <c r="D2" s="69"/>
      <c r="E2" s="69"/>
      <c r="F2" s="70"/>
      <c r="G2" s="70"/>
      <c r="H2" s="70"/>
      <c r="I2" s="70"/>
      <c r="J2" s="70"/>
      <c r="K2" s="70"/>
      <c r="L2" s="71"/>
      <c r="M2" s="70"/>
      <c r="N2" s="70"/>
      <c r="O2" s="70"/>
      <c r="P2" s="70"/>
      <c r="Q2" s="70"/>
      <c r="R2" s="70"/>
      <c r="S2" s="71"/>
      <c r="T2" s="70"/>
      <c r="U2" s="70"/>
      <c r="V2" s="70"/>
      <c r="W2" s="70"/>
      <c r="X2" s="70"/>
      <c r="Y2" s="70"/>
      <c r="Z2" s="70"/>
      <c r="AA2" s="72"/>
      <c r="AB2" s="70"/>
      <c r="AC2" s="70"/>
      <c r="AD2" s="70"/>
      <c r="AE2" s="70"/>
      <c r="AF2" s="70"/>
      <c r="AG2" s="70"/>
      <c r="AH2" s="72"/>
      <c r="AI2" s="73"/>
      <c r="AJ2" s="71"/>
      <c r="AK2" s="71"/>
      <c r="AL2" s="74"/>
      <c r="AM2" s="71"/>
      <c r="AN2" s="71"/>
      <c r="AO2" s="71"/>
      <c r="AP2" s="49"/>
      <c r="AQ2" s="71"/>
      <c r="AR2" s="71"/>
      <c r="AS2" s="71"/>
      <c r="AT2" s="49"/>
      <c r="AU2" s="71"/>
      <c r="AV2" s="71"/>
      <c r="AW2" s="49"/>
      <c r="AX2" s="71"/>
      <c r="AY2" s="71"/>
      <c r="AZ2" s="71"/>
      <c r="BA2" s="49"/>
      <c r="BB2" s="66"/>
    </row>
    <row r="3" spans="1:56" s="84" customFormat="1" ht="11.45">
      <c r="A3" s="76" t="str">
        <f>[40]Summary!A2</f>
        <v>CHN, Shanghai Campus Building 1 RF Project</v>
      </c>
      <c r="B3" s="77"/>
      <c r="C3" s="78"/>
      <c r="D3" s="78"/>
      <c r="E3" s="78"/>
      <c r="F3" s="79"/>
      <c r="G3" s="79"/>
      <c r="H3" s="79"/>
      <c r="I3" s="79"/>
      <c r="J3" s="79"/>
      <c r="K3" s="79"/>
      <c r="L3" s="80"/>
      <c r="M3" s="79"/>
      <c r="N3" s="79"/>
      <c r="O3" s="79"/>
      <c r="P3" s="79"/>
      <c r="Q3" s="79"/>
      <c r="R3" s="79"/>
      <c r="S3" s="80"/>
      <c r="T3" s="79"/>
      <c r="U3" s="79"/>
      <c r="V3" s="79"/>
      <c r="W3" s="79"/>
      <c r="X3" s="79"/>
      <c r="Y3" s="79"/>
      <c r="Z3" s="79"/>
      <c r="AA3" s="81"/>
      <c r="AB3" s="79"/>
      <c r="AC3" s="79"/>
      <c r="AD3" s="79"/>
      <c r="AE3" s="79"/>
      <c r="AF3" s="79"/>
      <c r="AG3" s="79"/>
      <c r="AH3" s="81"/>
      <c r="AI3" s="77"/>
      <c r="AJ3" s="80"/>
      <c r="AK3" s="80"/>
      <c r="AL3" s="82"/>
      <c r="AM3" s="80"/>
      <c r="AN3" s="80"/>
      <c r="AO3" s="80"/>
      <c r="AP3" s="50"/>
      <c r="AQ3" s="80"/>
      <c r="AR3" s="80"/>
      <c r="AS3" s="80"/>
      <c r="AT3" s="50"/>
      <c r="AU3" s="80"/>
      <c r="AV3" s="80"/>
      <c r="AW3" s="50"/>
      <c r="AX3" s="80"/>
      <c r="AY3" s="80"/>
      <c r="AZ3" s="80"/>
      <c r="BA3" s="50"/>
      <c r="BB3" s="83"/>
    </row>
    <row r="4" spans="1:56" s="67" customFormat="1" ht="11.45">
      <c r="A4" s="85" t="str">
        <f>[40]Summary!A4</f>
        <v>Issue Date: 2026/08/04</v>
      </c>
      <c r="B4" s="78"/>
      <c r="C4" s="78"/>
      <c r="D4" s="78"/>
      <c r="E4" s="78"/>
      <c r="F4" s="79"/>
      <c r="G4" s="79"/>
      <c r="H4" s="79"/>
      <c r="I4" s="79"/>
      <c r="J4" s="79"/>
      <c r="K4" s="79"/>
      <c r="L4" s="80"/>
      <c r="M4" s="79"/>
      <c r="N4" s="79"/>
      <c r="O4" s="79"/>
      <c r="P4" s="79"/>
      <c r="Q4" s="79"/>
      <c r="R4" s="79"/>
      <c r="S4" s="80"/>
      <c r="T4" s="79"/>
      <c r="U4" s="79"/>
      <c r="V4" s="79"/>
      <c r="W4" s="79"/>
      <c r="X4" s="79"/>
      <c r="Y4" s="79"/>
      <c r="Z4" s="79"/>
      <c r="AA4" s="81"/>
      <c r="AB4" s="79"/>
      <c r="AC4" s="79"/>
      <c r="AD4" s="79"/>
      <c r="AE4" s="79"/>
      <c r="AF4" s="79"/>
      <c r="AG4" s="79"/>
      <c r="AH4" s="81"/>
      <c r="AI4" s="77"/>
      <c r="AJ4" s="80"/>
      <c r="AK4" s="80"/>
      <c r="AL4" s="82"/>
      <c r="AM4" s="80"/>
      <c r="AN4" s="80"/>
      <c r="AO4" s="80"/>
      <c r="AP4" s="50"/>
      <c r="AQ4" s="80"/>
      <c r="AR4" s="80"/>
      <c r="AS4" s="80"/>
      <c r="AT4" s="50"/>
      <c r="AU4" s="80"/>
      <c r="AV4" s="80"/>
      <c r="AW4" s="50"/>
      <c r="AX4" s="80"/>
      <c r="AY4" s="80"/>
      <c r="AZ4" s="80"/>
      <c r="BA4" s="50"/>
      <c r="BB4" s="66"/>
    </row>
    <row r="5" spans="1:56" s="67" customFormat="1" ht="11.45">
      <c r="A5" s="85"/>
      <c r="B5" s="69"/>
      <c r="C5" s="69"/>
      <c r="D5" s="69"/>
      <c r="E5" s="69"/>
      <c r="F5" s="70"/>
      <c r="G5" s="70"/>
      <c r="H5" s="77"/>
      <c r="I5" s="77"/>
      <c r="J5" s="77"/>
      <c r="K5" s="77"/>
      <c r="L5" s="71"/>
      <c r="M5" s="70"/>
      <c r="N5" s="70"/>
      <c r="O5" s="77"/>
      <c r="P5" s="77"/>
      <c r="Q5" s="77"/>
      <c r="R5" s="77"/>
      <c r="S5" s="71"/>
      <c r="T5" s="70"/>
      <c r="U5" s="70"/>
      <c r="V5" s="70"/>
      <c r="W5" s="70"/>
      <c r="X5" s="70"/>
      <c r="Y5" s="70"/>
      <c r="Z5" s="70"/>
      <c r="AA5" s="72"/>
      <c r="AB5" s="70"/>
      <c r="AC5" s="70"/>
      <c r="AD5" s="70"/>
      <c r="AE5" s="70"/>
      <c r="AF5" s="70"/>
      <c r="AG5" s="70"/>
      <c r="AH5" s="72"/>
      <c r="AI5" s="73"/>
      <c r="AJ5" s="71"/>
      <c r="AK5" s="71"/>
      <c r="AL5" s="74"/>
      <c r="AM5" s="71"/>
      <c r="AN5" s="71"/>
      <c r="AO5" s="71"/>
      <c r="AP5" s="49"/>
      <c r="AQ5" s="71"/>
      <c r="AR5" s="71"/>
      <c r="AS5" s="71"/>
      <c r="AT5" s="49"/>
      <c r="AU5" s="71"/>
      <c r="AV5" s="71"/>
      <c r="AW5" s="49"/>
      <c r="AX5" s="71"/>
      <c r="AY5" s="71"/>
      <c r="AZ5" s="71"/>
      <c r="BA5" s="49"/>
      <c r="BB5" s="66"/>
    </row>
    <row r="6" spans="1:56" s="67" customFormat="1" ht="11.45">
      <c r="A6" s="68" t="str">
        <f>[40]Summary!A6</f>
        <v>Name of Tenderer:___HYE_________________________________</v>
      </c>
      <c r="B6" s="69"/>
      <c r="C6" s="69"/>
      <c r="D6" s="69"/>
      <c r="E6" s="69"/>
      <c r="F6" s="70"/>
      <c r="G6" s="70"/>
      <c r="H6" s="70"/>
      <c r="I6" s="70"/>
      <c r="J6" s="70"/>
      <c r="K6" s="70"/>
      <c r="L6" s="71"/>
      <c r="M6" s="70"/>
      <c r="N6" s="70"/>
      <c r="O6" s="70"/>
      <c r="P6" s="70"/>
      <c r="Q6" s="70"/>
      <c r="R6" s="70"/>
      <c r="S6" s="71"/>
      <c r="T6" s="70"/>
      <c r="U6" s="70"/>
      <c r="V6" s="70"/>
      <c r="W6" s="70"/>
      <c r="X6" s="70"/>
      <c r="Y6" s="70"/>
      <c r="Z6" s="70"/>
      <c r="AA6" s="72"/>
      <c r="AB6" s="70"/>
      <c r="AC6" s="70"/>
      <c r="AD6" s="70"/>
      <c r="AE6" s="70"/>
      <c r="AF6" s="70"/>
      <c r="AG6" s="70"/>
      <c r="AH6" s="72"/>
      <c r="AI6" s="73"/>
      <c r="AJ6" s="71"/>
      <c r="AK6" s="71"/>
      <c r="AL6" s="74"/>
      <c r="AM6" s="71"/>
      <c r="AN6" s="71"/>
      <c r="AO6" s="71"/>
      <c r="AP6" s="49"/>
      <c r="AQ6" s="71"/>
      <c r="AR6" s="71"/>
      <c r="AS6" s="71"/>
      <c r="AT6" s="49"/>
      <c r="AU6" s="71"/>
      <c r="AV6" s="71"/>
      <c r="AW6" s="49"/>
      <c r="AX6" s="71"/>
      <c r="AY6" s="71"/>
      <c r="AZ6" s="71"/>
      <c r="BA6" s="49"/>
      <c r="BB6" s="66"/>
    </row>
    <row r="7" spans="1:56" s="67" customFormat="1" ht="11.45">
      <c r="A7" s="73"/>
      <c r="B7" s="69"/>
      <c r="C7" s="69"/>
      <c r="D7" s="69"/>
      <c r="E7" s="69"/>
      <c r="F7" s="70"/>
      <c r="G7" s="70"/>
      <c r="H7" s="70"/>
      <c r="I7" s="70"/>
      <c r="J7" s="70"/>
      <c r="K7" s="70"/>
      <c r="L7" s="71"/>
      <c r="M7" s="70"/>
      <c r="N7" s="70"/>
      <c r="O7" s="70"/>
      <c r="P7" s="70"/>
      <c r="Q7" s="70"/>
      <c r="R7" s="70"/>
      <c r="S7" s="71"/>
      <c r="T7" s="70"/>
      <c r="U7" s="70"/>
      <c r="V7" s="70"/>
      <c r="W7" s="70"/>
      <c r="X7" s="70"/>
      <c r="Y7" s="70"/>
      <c r="Z7" s="70"/>
      <c r="AA7" s="72"/>
      <c r="AB7" s="70"/>
      <c r="AC7" s="70"/>
      <c r="AD7" s="70"/>
      <c r="AE7" s="70"/>
      <c r="AF7" s="70"/>
      <c r="AG7" s="70"/>
      <c r="AH7" s="72"/>
      <c r="AI7" s="73"/>
      <c r="AJ7" s="71"/>
      <c r="AK7" s="71"/>
      <c r="AL7" s="74"/>
      <c r="AM7" s="71"/>
      <c r="AN7" s="71"/>
      <c r="AO7" s="71"/>
      <c r="AP7" s="49"/>
      <c r="AQ7" s="71"/>
      <c r="AR7" s="71"/>
      <c r="AS7" s="71"/>
      <c r="AT7" s="49"/>
      <c r="AU7" s="71"/>
      <c r="AV7" s="71"/>
      <c r="AW7" s="49"/>
      <c r="AX7" s="71"/>
      <c r="AY7" s="71"/>
      <c r="AZ7" s="71"/>
      <c r="BA7" s="49"/>
      <c r="BB7" s="66"/>
    </row>
    <row r="8" spans="1:56" s="67" customFormat="1" ht="11.45">
      <c r="A8" s="328" t="s">
        <v>514</v>
      </c>
      <c r="B8" s="328"/>
      <c r="C8" s="328"/>
      <c r="D8" s="328"/>
      <c r="E8" s="328"/>
      <c r="F8" s="328"/>
      <c r="G8" s="328"/>
      <c r="H8" s="328"/>
      <c r="I8" s="328"/>
      <c r="J8" s="328"/>
      <c r="K8" s="328"/>
      <c r="L8" s="328"/>
      <c r="M8" s="328"/>
      <c r="N8" s="328"/>
      <c r="O8" s="328"/>
      <c r="P8" s="328"/>
      <c r="Q8" s="328"/>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row>
    <row r="9" spans="1:56" s="67" customFormat="1" ht="11.45">
      <c r="A9" s="87"/>
      <c r="B9" s="86"/>
      <c r="C9" s="86"/>
      <c r="D9" s="86"/>
      <c r="E9" s="86"/>
      <c r="F9" s="88"/>
      <c r="G9" s="88"/>
      <c r="H9" s="88"/>
      <c r="I9" s="88"/>
      <c r="J9" s="88"/>
      <c r="K9" s="88"/>
      <c r="L9" s="88"/>
      <c r="M9" s="88"/>
      <c r="N9" s="88"/>
      <c r="O9" s="88"/>
      <c r="P9" s="88"/>
      <c r="Q9" s="88"/>
      <c r="R9" s="88"/>
      <c r="S9" s="88"/>
      <c r="T9" s="89"/>
      <c r="U9" s="89"/>
      <c r="V9" s="89"/>
      <c r="W9" s="89"/>
      <c r="X9" s="89"/>
      <c r="Y9" s="89"/>
      <c r="Z9" s="89"/>
      <c r="AA9" s="89"/>
      <c r="AB9" s="89"/>
      <c r="AC9" s="89"/>
      <c r="AD9" s="89"/>
      <c r="AE9" s="89"/>
      <c r="AF9" s="89"/>
      <c r="AG9" s="89"/>
      <c r="AH9" s="89"/>
      <c r="AI9" s="86"/>
      <c r="AJ9" s="89"/>
      <c r="AK9" s="89"/>
      <c r="AL9" s="90"/>
      <c r="AM9" s="89"/>
      <c r="AN9" s="89"/>
      <c r="AO9" s="89"/>
      <c r="AP9" s="89"/>
      <c r="AQ9" s="89"/>
      <c r="AR9" s="89"/>
      <c r="AS9" s="89"/>
      <c r="AT9" s="89"/>
      <c r="AU9" s="89"/>
      <c r="AV9" s="89"/>
      <c r="AW9" s="89"/>
      <c r="AX9" s="89"/>
      <c r="AY9" s="89"/>
      <c r="AZ9" s="89"/>
      <c r="BA9" s="89"/>
      <c r="BB9" s="91"/>
    </row>
    <row r="10" spans="1:56" s="67" customFormat="1" ht="14.45" customHeight="1">
      <c r="A10" s="329" t="s">
        <v>515</v>
      </c>
      <c r="B10" s="329" t="s">
        <v>516</v>
      </c>
      <c r="C10" s="329" t="s">
        <v>517</v>
      </c>
      <c r="D10" s="332" t="s">
        <v>518</v>
      </c>
      <c r="E10" s="335" t="s">
        <v>519</v>
      </c>
      <c r="F10" s="335"/>
      <c r="G10" s="335"/>
      <c r="H10" s="335"/>
      <c r="I10" s="335"/>
      <c r="J10" s="335"/>
      <c r="K10" s="335"/>
      <c r="L10" s="335"/>
      <c r="M10" s="335"/>
      <c r="N10" s="335"/>
      <c r="O10" s="335"/>
      <c r="P10" s="335"/>
      <c r="Q10" s="335"/>
      <c r="R10" s="335"/>
      <c r="S10" s="335"/>
      <c r="T10" s="336" t="s">
        <v>520</v>
      </c>
      <c r="U10" s="336"/>
      <c r="V10" s="336"/>
      <c r="W10" s="336"/>
      <c r="X10" s="336"/>
      <c r="Y10" s="336"/>
      <c r="Z10" s="336"/>
      <c r="AA10" s="336"/>
      <c r="AB10" s="336"/>
      <c r="AC10" s="336"/>
      <c r="AD10" s="336"/>
      <c r="AE10" s="336"/>
      <c r="AF10" s="336"/>
      <c r="AG10" s="336"/>
      <c r="AH10" s="337"/>
      <c r="AI10" s="329" t="s">
        <v>521</v>
      </c>
      <c r="AJ10" s="338" t="s">
        <v>522</v>
      </c>
      <c r="AK10" s="339"/>
      <c r="AL10" s="340"/>
      <c r="AM10" s="341" t="s">
        <v>523</v>
      </c>
      <c r="AN10" s="342"/>
      <c r="AO10" s="342"/>
      <c r="AP10" s="342"/>
      <c r="AQ10" s="342"/>
      <c r="AR10" s="342"/>
      <c r="AS10" s="342"/>
      <c r="AT10" s="343"/>
      <c r="AU10" s="341" t="s">
        <v>523</v>
      </c>
      <c r="AV10" s="342"/>
      <c r="AW10" s="342"/>
      <c r="AX10" s="342"/>
      <c r="AY10" s="342"/>
      <c r="AZ10" s="342"/>
      <c r="BA10" s="343"/>
      <c r="BB10" s="344" t="s">
        <v>524</v>
      </c>
    </row>
    <row r="11" spans="1:56" s="67" customFormat="1" ht="14.45" customHeight="1">
      <c r="A11" s="330"/>
      <c r="B11" s="330"/>
      <c r="C11" s="330"/>
      <c r="D11" s="333"/>
      <c r="E11" s="347" t="s">
        <v>525</v>
      </c>
      <c r="F11" s="347"/>
      <c r="G11" s="347"/>
      <c r="H11" s="347"/>
      <c r="I11" s="347"/>
      <c r="J11" s="347"/>
      <c r="K11" s="347"/>
      <c r="L11" s="347"/>
      <c r="M11" s="348" t="s">
        <v>526</v>
      </c>
      <c r="N11" s="348"/>
      <c r="O11" s="348"/>
      <c r="P11" s="348"/>
      <c r="Q11" s="348"/>
      <c r="R11" s="348"/>
      <c r="S11" s="348"/>
      <c r="T11" s="349" t="s">
        <v>525</v>
      </c>
      <c r="U11" s="349"/>
      <c r="V11" s="349"/>
      <c r="W11" s="349"/>
      <c r="X11" s="349"/>
      <c r="Y11" s="349"/>
      <c r="Z11" s="349"/>
      <c r="AA11" s="350"/>
      <c r="AB11" s="351" t="s">
        <v>526</v>
      </c>
      <c r="AC11" s="352"/>
      <c r="AD11" s="352"/>
      <c r="AE11" s="352"/>
      <c r="AF11" s="352"/>
      <c r="AG11" s="352"/>
      <c r="AH11" s="353"/>
      <c r="AI11" s="330"/>
      <c r="AJ11" s="92" t="s">
        <v>527</v>
      </c>
      <c r="AK11" s="92" t="s">
        <v>528</v>
      </c>
      <c r="AL11" s="92" t="s">
        <v>507</v>
      </c>
      <c r="AM11" s="349" t="s">
        <v>525</v>
      </c>
      <c r="AN11" s="349"/>
      <c r="AO11" s="349"/>
      <c r="AP11" s="349"/>
      <c r="AQ11" s="349"/>
      <c r="AR11" s="349"/>
      <c r="AS11" s="349"/>
      <c r="AT11" s="350"/>
      <c r="AU11" s="351" t="s">
        <v>526</v>
      </c>
      <c r="AV11" s="352"/>
      <c r="AW11" s="352"/>
      <c r="AX11" s="352"/>
      <c r="AY11" s="352"/>
      <c r="AZ11" s="352"/>
      <c r="BA11" s="353"/>
      <c r="BB11" s="345"/>
    </row>
    <row r="12" spans="1:56" s="106" customFormat="1" ht="11.45">
      <c r="A12" s="331"/>
      <c r="B12" s="331"/>
      <c r="C12" s="331"/>
      <c r="D12" s="334"/>
      <c r="E12" s="93" t="s">
        <v>529</v>
      </c>
      <c r="F12" s="94" t="s">
        <v>530</v>
      </c>
      <c r="G12" s="94" t="s">
        <v>531</v>
      </c>
      <c r="H12" s="94" t="s">
        <v>532</v>
      </c>
      <c r="I12" s="94" t="s">
        <v>533</v>
      </c>
      <c r="J12" s="94" t="s">
        <v>534</v>
      </c>
      <c r="K12" s="94" t="s">
        <v>535</v>
      </c>
      <c r="L12" s="94" t="s">
        <v>507</v>
      </c>
      <c r="M12" s="95" t="s">
        <v>530</v>
      </c>
      <c r="N12" s="95" t="s">
        <v>531</v>
      </c>
      <c r="O12" s="95" t="s">
        <v>532</v>
      </c>
      <c r="P12" s="95" t="s">
        <v>533</v>
      </c>
      <c r="Q12" s="95" t="s">
        <v>534</v>
      </c>
      <c r="R12" s="95" t="s">
        <v>535</v>
      </c>
      <c r="S12" s="95" t="s">
        <v>507</v>
      </c>
      <c r="T12" s="96" t="s">
        <v>529</v>
      </c>
      <c r="U12" s="96" t="s">
        <v>530</v>
      </c>
      <c r="V12" s="97" t="s">
        <v>531</v>
      </c>
      <c r="W12" s="97" t="s">
        <v>532</v>
      </c>
      <c r="X12" s="97" t="s">
        <v>533</v>
      </c>
      <c r="Y12" s="98" t="s">
        <v>534</v>
      </c>
      <c r="Z12" s="97" t="s">
        <v>535</v>
      </c>
      <c r="AA12" s="99" t="s">
        <v>507</v>
      </c>
      <c r="AB12" s="100" t="s">
        <v>530</v>
      </c>
      <c r="AC12" s="100" t="s">
        <v>531</v>
      </c>
      <c r="AD12" s="100" t="s">
        <v>532</v>
      </c>
      <c r="AE12" s="100" t="s">
        <v>533</v>
      </c>
      <c r="AF12" s="101" t="s">
        <v>534</v>
      </c>
      <c r="AG12" s="100" t="s">
        <v>535</v>
      </c>
      <c r="AH12" s="102" t="s">
        <v>507</v>
      </c>
      <c r="AI12" s="331"/>
      <c r="AJ12" s="103" t="s">
        <v>536</v>
      </c>
      <c r="AK12" s="103" t="s">
        <v>537</v>
      </c>
      <c r="AL12" s="92" t="s">
        <v>538</v>
      </c>
      <c r="AM12" s="97" t="s">
        <v>529</v>
      </c>
      <c r="AN12" s="97" t="s">
        <v>530</v>
      </c>
      <c r="AO12" s="97" t="s">
        <v>531</v>
      </c>
      <c r="AP12" s="104" t="s">
        <v>532</v>
      </c>
      <c r="AQ12" s="97" t="s">
        <v>533</v>
      </c>
      <c r="AR12" s="97" t="s">
        <v>534</v>
      </c>
      <c r="AS12" s="97" t="s">
        <v>535</v>
      </c>
      <c r="AT12" s="99" t="s">
        <v>507</v>
      </c>
      <c r="AU12" s="100" t="s">
        <v>530</v>
      </c>
      <c r="AV12" s="100" t="s">
        <v>531</v>
      </c>
      <c r="AW12" s="105" t="s">
        <v>532</v>
      </c>
      <c r="AX12" s="100" t="s">
        <v>533</v>
      </c>
      <c r="AY12" s="100" t="s">
        <v>534</v>
      </c>
      <c r="AZ12" s="100" t="s">
        <v>535</v>
      </c>
      <c r="BA12" s="102" t="s">
        <v>507</v>
      </c>
      <c r="BB12" s="346"/>
    </row>
    <row r="13" spans="1:56" s="130" customFormat="1" ht="24" customHeight="1">
      <c r="A13" s="107" t="s">
        <v>481</v>
      </c>
      <c r="B13" s="108" t="s">
        <v>539</v>
      </c>
      <c r="C13" s="109"/>
      <c r="D13" s="110"/>
      <c r="E13" s="111"/>
      <c r="F13" s="112"/>
      <c r="G13" s="112"/>
      <c r="H13" s="112"/>
      <c r="I13" s="112"/>
      <c r="J13" s="112"/>
      <c r="K13" s="112"/>
      <c r="L13" s="113"/>
      <c r="M13" s="114"/>
      <c r="N13" s="114"/>
      <c r="O13" s="114"/>
      <c r="P13" s="114"/>
      <c r="Q13" s="114"/>
      <c r="R13" s="114"/>
      <c r="S13" s="115"/>
      <c r="T13" s="116"/>
      <c r="U13" s="116"/>
      <c r="V13" s="117"/>
      <c r="W13" s="117"/>
      <c r="X13" s="117"/>
      <c r="Y13" s="118"/>
      <c r="Z13" s="117"/>
      <c r="AA13" s="119"/>
      <c r="AB13" s="120"/>
      <c r="AC13" s="120"/>
      <c r="AD13" s="120"/>
      <c r="AE13" s="120"/>
      <c r="AF13" s="121"/>
      <c r="AG13" s="120"/>
      <c r="AH13" s="122"/>
      <c r="AI13" s="123"/>
      <c r="AJ13" s="124"/>
      <c r="AK13" s="124"/>
      <c r="AL13" s="125"/>
      <c r="AM13" s="126"/>
      <c r="AN13" s="126"/>
      <c r="AO13" s="126"/>
      <c r="AP13" s="52"/>
      <c r="AQ13" s="126"/>
      <c r="AR13" s="126"/>
      <c r="AS13" s="126"/>
      <c r="AT13" s="52"/>
      <c r="AU13" s="127"/>
      <c r="AV13" s="127"/>
      <c r="AW13" s="55"/>
      <c r="AX13" s="127"/>
      <c r="AY13" s="127"/>
      <c r="AZ13" s="127"/>
      <c r="BA13" s="55"/>
      <c r="BB13" s="128"/>
      <c r="BC13" s="129"/>
      <c r="BD13" s="129"/>
    </row>
    <row r="14" spans="1:56" s="130" customFormat="1" ht="18" customHeight="1">
      <c r="A14" s="131">
        <v>1</v>
      </c>
      <c r="B14" s="132" t="s">
        <v>540</v>
      </c>
      <c r="C14" s="109"/>
      <c r="D14" s="110"/>
      <c r="E14" s="111"/>
      <c r="F14" s="112"/>
      <c r="G14" s="112"/>
      <c r="H14" s="112"/>
      <c r="I14" s="112"/>
      <c r="J14" s="112"/>
      <c r="K14" s="112"/>
      <c r="L14" s="113"/>
      <c r="M14" s="114"/>
      <c r="N14" s="114"/>
      <c r="O14" s="114"/>
      <c r="P14" s="114"/>
      <c r="Q14" s="114"/>
      <c r="R14" s="114"/>
      <c r="S14" s="115"/>
      <c r="T14" s="133"/>
      <c r="U14" s="133"/>
      <c r="V14" s="134"/>
      <c r="W14" s="134"/>
      <c r="X14" s="134"/>
      <c r="Y14" s="135"/>
      <c r="Z14" s="134">
        <v>1</v>
      </c>
      <c r="AA14" s="136">
        <f t="shared" ref="AA14:AA57" si="0">SUM(T14:Z14)</f>
        <v>1</v>
      </c>
      <c r="AB14" s="137"/>
      <c r="AC14" s="137"/>
      <c r="AD14" s="137"/>
      <c r="AE14" s="137"/>
      <c r="AF14" s="138"/>
      <c r="AG14" s="137"/>
      <c r="AH14" s="139">
        <f t="shared" ref="AH14:AH57" si="1">SUM(AB14:AG14)</f>
        <v>0</v>
      </c>
      <c r="AI14" s="140" t="s">
        <v>541</v>
      </c>
      <c r="AJ14" s="141">
        <v>950</v>
      </c>
      <c r="AK14" s="141">
        <v>11400</v>
      </c>
      <c r="AL14" s="142">
        <f t="shared" ref="AL14:AL57" si="2">AJ14+AK14</f>
        <v>12350</v>
      </c>
      <c r="AM14" s="51">
        <f t="shared" ref="AM14:AM57" si="3">T14*AL14</f>
        <v>0</v>
      </c>
      <c r="AN14" s="51">
        <f t="shared" ref="AN14:AN57" si="4">U14*AL14</f>
        <v>0</v>
      </c>
      <c r="AO14" s="51">
        <f t="shared" ref="AO14:AO57" si="5">V14*AL14</f>
        <v>0</v>
      </c>
      <c r="AP14" s="51">
        <f t="shared" ref="AP14:AP57" si="6">W14*AL14</f>
        <v>0</v>
      </c>
      <c r="AQ14" s="51">
        <f t="shared" ref="AQ14:AQ57" si="7">X14*AL14</f>
        <v>0</v>
      </c>
      <c r="AR14" s="51">
        <f t="shared" ref="AR14:AR57" si="8">Y14*AL14</f>
        <v>0</v>
      </c>
      <c r="AS14" s="51">
        <f t="shared" ref="AS14:AS57" si="9">Z14*AL14</f>
        <v>12350</v>
      </c>
      <c r="AT14" s="51">
        <f t="shared" ref="AT14:AT57" si="10">SUM(AM14:AS14)</f>
        <v>12350</v>
      </c>
      <c r="AU14" s="54">
        <f t="shared" ref="AU14:AU57" si="11">AB14*AL14</f>
        <v>0</v>
      </c>
      <c r="AV14" s="54">
        <f t="shared" ref="AV14:AV57" si="12">AC14*AL14</f>
        <v>0</v>
      </c>
      <c r="AW14" s="54">
        <f t="shared" ref="AW14:AW57" si="13">AD14*AL14</f>
        <v>0</v>
      </c>
      <c r="AX14" s="54">
        <f t="shared" ref="AX14:AX57" si="14">AE14*AL14</f>
        <v>0</v>
      </c>
      <c r="AY14" s="54">
        <f t="shared" ref="AY14:AY57" si="15">AF14*AL14</f>
        <v>0</v>
      </c>
      <c r="AZ14" s="54">
        <f t="shared" ref="AZ14:AZ57" si="16">AG14*AL14</f>
        <v>0</v>
      </c>
      <c r="BA14" s="54">
        <f t="shared" ref="BA14:BA57" si="17">SUM(AU14:AZ14)</f>
        <v>0</v>
      </c>
      <c r="BB14" s="128"/>
      <c r="BC14" s="129"/>
      <c r="BD14" s="129"/>
    </row>
    <row r="15" spans="1:56" s="130" customFormat="1" ht="18" customHeight="1">
      <c r="A15" s="131">
        <v>2</v>
      </c>
      <c r="B15" s="132" t="s">
        <v>542</v>
      </c>
      <c r="C15" s="109"/>
      <c r="D15" s="110"/>
      <c r="E15" s="111"/>
      <c r="F15" s="112"/>
      <c r="G15" s="112"/>
      <c r="H15" s="112"/>
      <c r="I15" s="112"/>
      <c r="J15" s="112"/>
      <c r="K15" s="112"/>
      <c r="L15" s="113"/>
      <c r="M15" s="114"/>
      <c r="N15" s="114"/>
      <c r="O15" s="114"/>
      <c r="P15" s="114"/>
      <c r="Q15" s="114"/>
      <c r="R15" s="114"/>
      <c r="S15" s="115"/>
      <c r="T15" s="133"/>
      <c r="U15" s="133">
        <v>1</v>
      </c>
      <c r="V15" s="134"/>
      <c r="W15" s="134"/>
      <c r="X15" s="134"/>
      <c r="Y15" s="135"/>
      <c r="Z15" s="134"/>
      <c r="AA15" s="136">
        <f t="shared" si="0"/>
        <v>1</v>
      </c>
      <c r="AB15" s="137"/>
      <c r="AC15" s="137"/>
      <c r="AD15" s="137"/>
      <c r="AE15" s="137"/>
      <c r="AF15" s="138"/>
      <c r="AG15" s="137"/>
      <c r="AH15" s="139">
        <f t="shared" si="1"/>
        <v>0</v>
      </c>
      <c r="AI15" s="140" t="s">
        <v>541</v>
      </c>
      <c r="AJ15" s="141">
        <v>1100</v>
      </c>
      <c r="AK15" s="141">
        <v>600</v>
      </c>
      <c r="AL15" s="142">
        <f t="shared" si="2"/>
        <v>1700</v>
      </c>
      <c r="AM15" s="51">
        <f t="shared" si="3"/>
        <v>0</v>
      </c>
      <c r="AN15" s="51">
        <f t="shared" si="4"/>
        <v>1700</v>
      </c>
      <c r="AO15" s="51">
        <f t="shared" si="5"/>
        <v>0</v>
      </c>
      <c r="AP15" s="51">
        <f t="shared" si="6"/>
        <v>0</v>
      </c>
      <c r="AQ15" s="51">
        <f t="shared" si="7"/>
        <v>0</v>
      </c>
      <c r="AR15" s="51">
        <f t="shared" si="8"/>
        <v>0</v>
      </c>
      <c r="AS15" s="51">
        <f t="shared" si="9"/>
        <v>0</v>
      </c>
      <c r="AT15" s="51">
        <f t="shared" si="10"/>
        <v>1700</v>
      </c>
      <c r="AU15" s="54">
        <f t="shared" si="11"/>
        <v>0</v>
      </c>
      <c r="AV15" s="54">
        <f t="shared" si="12"/>
        <v>0</v>
      </c>
      <c r="AW15" s="54">
        <f t="shared" si="13"/>
        <v>0</v>
      </c>
      <c r="AX15" s="54">
        <f t="shared" si="14"/>
        <v>0</v>
      </c>
      <c r="AY15" s="54">
        <f t="shared" si="15"/>
        <v>0</v>
      </c>
      <c r="AZ15" s="54">
        <f t="shared" si="16"/>
        <v>0</v>
      </c>
      <c r="BA15" s="54">
        <f t="shared" si="17"/>
        <v>0</v>
      </c>
      <c r="BB15" s="128"/>
      <c r="BC15" s="129"/>
      <c r="BD15" s="129"/>
    </row>
    <row r="16" spans="1:56" s="130" customFormat="1" ht="18" customHeight="1">
      <c r="A16" s="131">
        <v>3</v>
      </c>
      <c r="B16" s="132" t="s">
        <v>543</v>
      </c>
      <c r="C16" s="109"/>
      <c r="D16" s="110"/>
      <c r="E16" s="111"/>
      <c r="F16" s="112"/>
      <c r="G16" s="112"/>
      <c r="H16" s="112"/>
      <c r="I16" s="112"/>
      <c r="J16" s="112"/>
      <c r="K16" s="112"/>
      <c r="L16" s="113"/>
      <c r="M16" s="114"/>
      <c r="N16" s="114"/>
      <c r="O16" s="114"/>
      <c r="P16" s="114"/>
      <c r="Q16" s="114"/>
      <c r="R16" s="114"/>
      <c r="S16" s="115"/>
      <c r="T16" s="133"/>
      <c r="U16" s="133"/>
      <c r="V16" s="134">
        <v>1</v>
      </c>
      <c r="W16" s="134"/>
      <c r="X16" s="134"/>
      <c r="Y16" s="135"/>
      <c r="Z16" s="134"/>
      <c r="AA16" s="136">
        <f t="shared" si="0"/>
        <v>1</v>
      </c>
      <c r="AB16" s="137"/>
      <c r="AC16" s="137"/>
      <c r="AD16" s="137"/>
      <c r="AE16" s="137"/>
      <c r="AF16" s="138"/>
      <c r="AG16" s="137"/>
      <c r="AH16" s="139">
        <f t="shared" si="1"/>
        <v>0</v>
      </c>
      <c r="AI16" s="140" t="s">
        <v>541</v>
      </c>
      <c r="AJ16" s="141">
        <v>1100</v>
      </c>
      <c r="AK16" s="141">
        <v>600</v>
      </c>
      <c r="AL16" s="142">
        <f t="shared" si="2"/>
        <v>1700</v>
      </c>
      <c r="AM16" s="51">
        <f t="shared" si="3"/>
        <v>0</v>
      </c>
      <c r="AN16" s="51">
        <f t="shared" si="4"/>
        <v>0</v>
      </c>
      <c r="AO16" s="51">
        <f t="shared" si="5"/>
        <v>1700</v>
      </c>
      <c r="AP16" s="51">
        <f t="shared" si="6"/>
        <v>0</v>
      </c>
      <c r="AQ16" s="51">
        <f t="shared" si="7"/>
        <v>0</v>
      </c>
      <c r="AR16" s="51">
        <f t="shared" si="8"/>
        <v>0</v>
      </c>
      <c r="AS16" s="51">
        <f t="shared" si="9"/>
        <v>0</v>
      </c>
      <c r="AT16" s="51">
        <f t="shared" si="10"/>
        <v>1700</v>
      </c>
      <c r="AU16" s="54">
        <f t="shared" si="11"/>
        <v>0</v>
      </c>
      <c r="AV16" s="54">
        <f t="shared" si="12"/>
        <v>0</v>
      </c>
      <c r="AW16" s="54">
        <f t="shared" si="13"/>
        <v>0</v>
      </c>
      <c r="AX16" s="54">
        <f t="shared" si="14"/>
        <v>0</v>
      </c>
      <c r="AY16" s="54">
        <f t="shared" si="15"/>
        <v>0</v>
      </c>
      <c r="AZ16" s="54">
        <f t="shared" si="16"/>
        <v>0</v>
      </c>
      <c r="BA16" s="54">
        <f t="shared" si="17"/>
        <v>0</v>
      </c>
      <c r="BB16" s="128"/>
      <c r="BC16" s="129"/>
      <c r="BD16" s="129"/>
    </row>
    <row r="17" spans="1:56" s="130" customFormat="1" ht="18" customHeight="1">
      <c r="A17" s="131">
        <v>4</v>
      </c>
      <c r="B17" s="132" t="s">
        <v>544</v>
      </c>
      <c r="C17" s="109"/>
      <c r="D17" s="110"/>
      <c r="E17" s="111"/>
      <c r="F17" s="112"/>
      <c r="G17" s="112"/>
      <c r="H17" s="112"/>
      <c r="I17" s="112"/>
      <c r="J17" s="112"/>
      <c r="K17" s="112"/>
      <c r="L17" s="113"/>
      <c r="M17" s="114"/>
      <c r="N17" s="114"/>
      <c r="O17" s="114"/>
      <c r="P17" s="114"/>
      <c r="Q17" s="114"/>
      <c r="R17" s="114"/>
      <c r="S17" s="115"/>
      <c r="T17" s="133"/>
      <c r="U17" s="133">
        <v>1</v>
      </c>
      <c r="V17" s="134"/>
      <c r="W17" s="134"/>
      <c r="X17" s="134"/>
      <c r="Y17" s="135"/>
      <c r="Z17" s="134"/>
      <c r="AA17" s="136">
        <f t="shared" si="0"/>
        <v>1</v>
      </c>
      <c r="AB17" s="137"/>
      <c r="AC17" s="137"/>
      <c r="AD17" s="137"/>
      <c r="AE17" s="137"/>
      <c r="AF17" s="138"/>
      <c r="AG17" s="137"/>
      <c r="AH17" s="139">
        <f t="shared" si="1"/>
        <v>0</v>
      </c>
      <c r="AI17" s="140" t="s">
        <v>541</v>
      </c>
      <c r="AJ17" s="141">
        <v>1100</v>
      </c>
      <c r="AK17" s="141">
        <v>2400</v>
      </c>
      <c r="AL17" s="142">
        <f t="shared" si="2"/>
        <v>3500</v>
      </c>
      <c r="AM17" s="51">
        <f t="shared" si="3"/>
        <v>0</v>
      </c>
      <c r="AN17" s="51">
        <f t="shared" si="4"/>
        <v>3500</v>
      </c>
      <c r="AO17" s="51">
        <f t="shared" si="5"/>
        <v>0</v>
      </c>
      <c r="AP17" s="51">
        <f t="shared" si="6"/>
        <v>0</v>
      </c>
      <c r="AQ17" s="51">
        <f t="shared" si="7"/>
        <v>0</v>
      </c>
      <c r="AR17" s="51">
        <f t="shared" si="8"/>
        <v>0</v>
      </c>
      <c r="AS17" s="51">
        <f t="shared" si="9"/>
        <v>0</v>
      </c>
      <c r="AT17" s="51">
        <f t="shared" si="10"/>
        <v>3500</v>
      </c>
      <c r="AU17" s="54">
        <f t="shared" si="11"/>
        <v>0</v>
      </c>
      <c r="AV17" s="54">
        <f t="shared" si="12"/>
        <v>0</v>
      </c>
      <c r="AW17" s="54">
        <f t="shared" si="13"/>
        <v>0</v>
      </c>
      <c r="AX17" s="54">
        <f t="shared" si="14"/>
        <v>0</v>
      </c>
      <c r="AY17" s="54">
        <f t="shared" si="15"/>
        <v>0</v>
      </c>
      <c r="AZ17" s="54">
        <f t="shared" si="16"/>
        <v>0</v>
      </c>
      <c r="BA17" s="54">
        <f t="shared" si="17"/>
        <v>0</v>
      </c>
      <c r="BB17" s="128"/>
      <c r="BC17" s="129"/>
      <c r="BD17" s="129"/>
    </row>
    <row r="18" spans="1:56" s="130" customFormat="1" ht="18" customHeight="1">
      <c r="A18" s="131">
        <v>5</v>
      </c>
      <c r="B18" s="132" t="s">
        <v>545</v>
      </c>
      <c r="C18" s="109"/>
      <c r="D18" s="110"/>
      <c r="E18" s="111"/>
      <c r="F18" s="112"/>
      <c r="G18" s="112"/>
      <c r="H18" s="112"/>
      <c r="I18" s="112"/>
      <c r="J18" s="112"/>
      <c r="K18" s="112"/>
      <c r="L18" s="113"/>
      <c r="M18" s="114"/>
      <c r="N18" s="114"/>
      <c r="O18" s="114"/>
      <c r="P18" s="114"/>
      <c r="Q18" s="114"/>
      <c r="R18" s="114"/>
      <c r="S18" s="115"/>
      <c r="T18" s="133"/>
      <c r="U18" s="133">
        <v>1</v>
      </c>
      <c r="V18" s="134"/>
      <c r="W18" s="134"/>
      <c r="X18" s="134"/>
      <c r="Y18" s="135"/>
      <c r="Z18" s="134"/>
      <c r="AA18" s="136">
        <f t="shared" si="0"/>
        <v>1</v>
      </c>
      <c r="AB18" s="137"/>
      <c r="AC18" s="137"/>
      <c r="AD18" s="137"/>
      <c r="AE18" s="137"/>
      <c r="AF18" s="138"/>
      <c r="AG18" s="137"/>
      <c r="AH18" s="139">
        <f t="shared" si="1"/>
        <v>0</v>
      </c>
      <c r="AI18" s="140" t="s">
        <v>541</v>
      </c>
      <c r="AJ18" s="141">
        <v>1100</v>
      </c>
      <c r="AK18" s="141">
        <v>2400</v>
      </c>
      <c r="AL18" s="142">
        <f t="shared" si="2"/>
        <v>3500</v>
      </c>
      <c r="AM18" s="51">
        <f t="shared" si="3"/>
        <v>0</v>
      </c>
      <c r="AN18" s="51">
        <f t="shared" si="4"/>
        <v>3500</v>
      </c>
      <c r="AO18" s="51">
        <f t="shared" si="5"/>
        <v>0</v>
      </c>
      <c r="AP18" s="51">
        <f t="shared" si="6"/>
        <v>0</v>
      </c>
      <c r="AQ18" s="51">
        <f t="shared" si="7"/>
        <v>0</v>
      </c>
      <c r="AR18" s="51">
        <f t="shared" si="8"/>
        <v>0</v>
      </c>
      <c r="AS18" s="51">
        <f t="shared" si="9"/>
        <v>0</v>
      </c>
      <c r="AT18" s="51">
        <f t="shared" si="10"/>
        <v>3500</v>
      </c>
      <c r="AU18" s="54">
        <f t="shared" si="11"/>
        <v>0</v>
      </c>
      <c r="AV18" s="54">
        <f t="shared" si="12"/>
        <v>0</v>
      </c>
      <c r="AW18" s="54">
        <f t="shared" si="13"/>
        <v>0</v>
      </c>
      <c r="AX18" s="54">
        <f t="shared" si="14"/>
        <v>0</v>
      </c>
      <c r="AY18" s="54">
        <f t="shared" si="15"/>
        <v>0</v>
      </c>
      <c r="AZ18" s="54">
        <f t="shared" si="16"/>
        <v>0</v>
      </c>
      <c r="BA18" s="54">
        <f t="shared" si="17"/>
        <v>0</v>
      </c>
      <c r="BB18" s="128"/>
      <c r="BC18" s="129"/>
      <c r="BD18" s="129"/>
    </row>
    <row r="19" spans="1:56" s="130" customFormat="1" ht="18" customHeight="1">
      <c r="A19" s="131">
        <v>6</v>
      </c>
      <c r="B19" s="132" t="s">
        <v>546</v>
      </c>
      <c r="C19" s="109"/>
      <c r="D19" s="110"/>
      <c r="E19" s="111"/>
      <c r="F19" s="112"/>
      <c r="G19" s="112"/>
      <c r="H19" s="112"/>
      <c r="I19" s="112"/>
      <c r="J19" s="112"/>
      <c r="K19" s="112"/>
      <c r="L19" s="113"/>
      <c r="M19" s="114"/>
      <c r="N19" s="114"/>
      <c r="O19" s="114"/>
      <c r="P19" s="114"/>
      <c r="Q19" s="114"/>
      <c r="R19" s="114"/>
      <c r="S19" s="115"/>
      <c r="T19" s="133"/>
      <c r="U19" s="133"/>
      <c r="V19" s="134"/>
      <c r="W19" s="134"/>
      <c r="X19" s="134"/>
      <c r="Y19" s="135"/>
      <c r="Z19" s="134">
        <v>18</v>
      </c>
      <c r="AA19" s="136">
        <f t="shared" si="0"/>
        <v>18</v>
      </c>
      <c r="AB19" s="137"/>
      <c r="AC19" s="137"/>
      <c r="AD19" s="137"/>
      <c r="AE19" s="137"/>
      <c r="AF19" s="138"/>
      <c r="AG19" s="137"/>
      <c r="AH19" s="139">
        <f t="shared" si="1"/>
        <v>0</v>
      </c>
      <c r="AI19" s="140" t="s">
        <v>541</v>
      </c>
      <c r="AJ19" s="141">
        <v>1100</v>
      </c>
      <c r="AK19" s="141">
        <v>10200</v>
      </c>
      <c r="AL19" s="142">
        <f t="shared" si="2"/>
        <v>11300</v>
      </c>
      <c r="AM19" s="51">
        <f t="shared" si="3"/>
        <v>0</v>
      </c>
      <c r="AN19" s="51">
        <f t="shared" si="4"/>
        <v>0</v>
      </c>
      <c r="AO19" s="51">
        <f t="shared" si="5"/>
        <v>0</v>
      </c>
      <c r="AP19" s="51">
        <f t="shared" si="6"/>
        <v>0</v>
      </c>
      <c r="AQ19" s="51">
        <f t="shared" si="7"/>
        <v>0</v>
      </c>
      <c r="AR19" s="51">
        <f t="shared" si="8"/>
        <v>0</v>
      </c>
      <c r="AS19" s="51">
        <f t="shared" si="9"/>
        <v>203400</v>
      </c>
      <c r="AT19" s="51">
        <f t="shared" si="10"/>
        <v>203400</v>
      </c>
      <c r="AU19" s="54">
        <f t="shared" si="11"/>
        <v>0</v>
      </c>
      <c r="AV19" s="54">
        <f t="shared" si="12"/>
        <v>0</v>
      </c>
      <c r="AW19" s="54">
        <f t="shared" si="13"/>
        <v>0</v>
      </c>
      <c r="AX19" s="54">
        <f t="shared" si="14"/>
        <v>0</v>
      </c>
      <c r="AY19" s="54">
        <f t="shared" si="15"/>
        <v>0</v>
      </c>
      <c r="AZ19" s="54">
        <f t="shared" si="16"/>
        <v>0</v>
      </c>
      <c r="BA19" s="54">
        <f t="shared" si="17"/>
        <v>0</v>
      </c>
      <c r="BB19" s="128"/>
      <c r="BC19" s="129"/>
      <c r="BD19" s="129"/>
    </row>
    <row r="20" spans="1:56" s="130" customFormat="1" ht="18" customHeight="1">
      <c r="A20" s="131">
        <v>7</v>
      </c>
      <c r="B20" s="132" t="s">
        <v>547</v>
      </c>
      <c r="C20" s="109"/>
      <c r="D20" s="110"/>
      <c r="E20" s="111"/>
      <c r="F20" s="112"/>
      <c r="G20" s="112"/>
      <c r="H20" s="112"/>
      <c r="I20" s="112"/>
      <c r="J20" s="112"/>
      <c r="K20" s="112"/>
      <c r="L20" s="113"/>
      <c r="M20" s="114"/>
      <c r="N20" s="114"/>
      <c r="O20" s="114"/>
      <c r="P20" s="114"/>
      <c r="Q20" s="114"/>
      <c r="R20" s="114"/>
      <c r="S20" s="115"/>
      <c r="T20" s="133"/>
      <c r="U20" s="133"/>
      <c r="V20" s="134"/>
      <c r="W20" s="134"/>
      <c r="X20" s="134"/>
      <c r="Y20" s="135"/>
      <c r="Z20" s="134">
        <v>1680</v>
      </c>
      <c r="AA20" s="136">
        <f t="shared" si="0"/>
        <v>1680</v>
      </c>
      <c r="AB20" s="137"/>
      <c r="AC20" s="137"/>
      <c r="AD20" s="137"/>
      <c r="AE20" s="137"/>
      <c r="AF20" s="138"/>
      <c r="AG20" s="137"/>
      <c r="AH20" s="139">
        <f t="shared" si="1"/>
        <v>0</v>
      </c>
      <c r="AI20" s="140" t="s">
        <v>548</v>
      </c>
      <c r="AJ20" s="141">
        <v>85</v>
      </c>
      <c r="AK20" s="141">
        <v>792</v>
      </c>
      <c r="AL20" s="142">
        <f t="shared" si="2"/>
        <v>877</v>
      </c>
      <c r="AM20" s="51">
        <f t="shared" si="3"/>
        <v>0</v>
      </c>
      <c r="AN20" s="51">
        <f t="shared" si="4"/>
        <v>0</v>
      </c>
      <c r="AO20" s="51">
        <f t="shared" si="5"/>
        <v>0</v>
      </c>
      <c r="AP20" s="51">
        <f t="shared" si="6"/>
        <v>0</v>
      </c>
      <c r="AQ20" s="51">
        <f t="shared" si="7"/>
        <v>0</v>
      </c>
      <c r="AR20" s="51">
        <f t="shared" si="8"/>
        <v>0</v>
      </c>
      <c r="AS20" s="51">
        <f t="shared" si="9"/>
        <v>1473360</v>
      </c>
      <c r="AT20" s="51">
        <f t="shared" si="10"/>
        <v>1473360</v>
      </c>
      <c r="AU20" s="54">
        <f t="shared" si="11"/>
        <v>0</v>
      </c>
      <c r="AV20" s="54">
        <f t="shared" si="12"/>
        <v>0</v>
      </c>
      <c r="AW20" s="54">
        <f t="shared" si="13"/>
        <v>0</v>
      </c>
      <c r="AX20" s="54">
        <f t="shared" si="14"/>
        <v>0</v>
      </c>
      <c r="AY20" s="54">
        <f t="shared" si="15"/>
        <v>0</v>
      </c>
      <c r="AZ20" s="54">
        <f t="shared" si="16"/>
        <v>0</v>
      </c>
      <c r="BA20" s="54">
        <f t="shared" si="17"/>
        <v>0</v>
      </c>
      <c r="BB20" s="128"/>
      <c r="BC20" s="129"/>
      <c r="BD20" s="129"/>
    </row>
    <row r="21" spans="1:56" s="130" customFormat="1" ht="18" customHeight="1">
      <c r="A21" s="131">
        <v>8</v>
      </c>
      <c r="B21" s="132" t="s">
        <v>549</v>
      </c>
      <c r="C21" s="109"/>
      <c r="D21" s="110"/>
      <c r="E21" s="111"/>
      <c r="F21" s="112"/>
      <c r="G21" s="112"/>
      <c r="H21" s="112"/>
      <c r="I21" s="112"/>
      <c r="J21" s="112"/>
      <c r="K21" s="112"/>
      <c r="L21" s="113"/>
      <c r="M21" s="114"/>
      <c r="N21" s="114"/>
      <c r="O21" s="114"/>
      <c r="P21" s="114"/>
      <c r="Q21" s="114"/>
      <c r="R21" s="114"/>
      <c r="S21" s="115"/>
      <c r="T21" s="133"/>
      <c r="U21" s="133"/>
      <c r="V21" s="134"/>
      <c r="W21" s="134"/>
      <c r="X21" s="134"/>
      <c r="Y21" s="135"/>
      <c r="Z21" s="134">
        <v>228</v>
      </c>
      <c r="AA21" s="136">
        <f t="shared" si="0"/>
        <v>228</v>
      </c>
      <c r="AB21" s="137"/>
      <c r="AC21" s="137"/>
      <c r="AD21" s="137"/>
      <c r="AE21" s="137"/>
      <c r="AF21" s="138"/>
      <c r="AG21" s="137"/>
      <c r="AH21" s="139">
        <f t="shared" si="1"/>
        <v>0</v>
      </c>
      <c r="AI21" s="140" t="s">
        <v>548</v>
      </c>
      <c r="AJ21" s="141">
        <v>42</v>
      </c>
      <c r="AK21" s="141">
        <v>286</v>
      </c>
      <c r="AL21" s="142">
        <f t="shared" si="2"/>
        <v>328</v>
      </c>
      <c r="AM21" s="51">
        <f t="shared" si="3"/>
        <v>0</v>
      </c>
      <c r="AN21" s="51">
        <f t="shared" si="4"/>
        <v>0</v>
      </c>
      <c r="AO21" s="51">
        <f t="shared" si="5"/>
        <v>0</v>
      </c>
      <c r="AP21" s="51">
        <f t="shared" si="6"/>
        <v>0</v>
      </c>
      <c r="AQ21" s="51">
        <f t="shared" si="7"/>
        <v>0</v>
      </c>
      <c r="AR21" s="51">
        <f t="shared" si="8"/>
        <v>0</v>
      </c>
      <c r="AS21" s="51">
        <f t="shared" si="9"/>
        <v>74784</v>
      </c>
      <c r="AT21" s="51">
        <f t="shared" si="10"/>
        <v>74784</v>
      </c>
      <c r="AU21" s="54">
        <f t="shared" si="11"/>
        <v>0</v>
      </c>
      <c r="AV21" s="54">
        <f t="shared" si="12"/>
        <v>0</v>
      </c>
      <c r="AW21" s="54">
        <f t="shared" si="13"/>
        <v>0</v>
      </c>
      <c r="AX21" s="54">
        <f t="shared" si="14"/>
        <v>0</v>
      </c>
      <c r="AY21" s="54">
        <f t="shared" si="15"/>
        <v>0</v>
      </c>
      <c r="AZ21" s="54">
        <f t="shared" si="16"/>
        <v>0</v>
      </c>
      <c r="BA21" s="54">
        <f t="shared" si="17"/>
        <v>0</v>
      </c>
      <c r="BB21" s="128"/>
      <c r="BC21" s="129"/>
      <c r="BD21" s="129"/>
    </row>
    <row r="22" spans="1:56" s="130" customFormat="1" ht="18" customHeight="1">
      <c r="A22" s="131">
        <v>9</v>
      </c>
      <c r="B22" s="132" t="s">
        <v>550</v>
      </c>
      <c r="C22" s="109"/>
      <c r="D22" s="110"/>
      <c r="E22" s="111"/>
      <c r="F22" s="112"/>
      <c r="G22" s="112"/>
      <c r="H22" s="112"/>
      <c r="I22" s="112"/>
      <c r="J22" s="112"/>
      <c r="K22" s="112"/>
      <c r="L22" s="113"/>
      <c r="M22" s="114"/>
      <c r="N22" s="114"/>
      <c r="O22" s="114"/>
      <c r="P22" s="114"/>
      <c r="Q22" s="114"/>
      <c r="R22" s="114"/>
      <c r="S22" s="115"/>
      <c r="T22" s="133"/>
      <c r="U22" s="133"/>
      <c r="V22" s="134"/>
      <c r="W22" s="134"/>
      <c r="X22" s="134"/>
      <c r="Y22" s="135"/>
      <c r="Z22" s="134">
        <v>62</v>
      </c>
      <c r="AA22" s="136">
        <f t="shared" si="0"/>
        <v>62</v>
      </c>
      <c r="AB22" s="137"/>
      <c r="AC22" s="137"/>
      <c r="AD22" s="137"/>
      <c r="AE22" s="137"/>
      <c r="AF22" s="138"/>
      <c r="AG22" s="137"/>
      <c r="AH22" s="139">
        <f t="shared" si="1"/>
        <v>0</v>
      </c>
      <c r="AI22" s="140" t="s">
        <v>548</v>
      </c>
      <c r="AJ22" s="141">
        <v>24</v>
      </c>
      <c r="AK22" s="141">
        <v>90</v>
      </c>
      <c r="AL22" s="142">
        <f t="shared" si="2"/>
        <v>114</v>
      </c>
      <c r="AM22" s="51">
        <f t="shared" si="3"/>
        <v>0</v>
      </c>
      <c r="AN22" s="51">
        <f t="shared" si="4"/>
        <v>0</v>
      </c>
      <c r="AO22" s="51">
        <f t="shared" si="5"/>
        <v>0</v>
      </c>
      <c r="AP22" s="51">
        <f t="shared" si="6"/>
        <v>0</v>
      </c>
      <c r="AQ22" s="51">
        <f t="shared" si="7"/>
        <v>0</v>
      </c>
      <c r="AR22" s="51">
        <f t="shared" si="8"/>
        <v>0</v>
      </c>
      <c r="AS22" s="51">
        <f t="shared" si="9"/>
        <v>7068</v>
      </c>
      <c r="AT22" s="51">
        <f t="shared" si="10"/>
        <v>7068</v>
      </c>
      <c r="AU22" s="54">
        <f t="shared" si="11"/>
        <v>0</v>
      </c>
      <c r="AV22" s="54">
        <f t="shared" si="12"/>
        <v>0</v>
      </c>
      <c r="AW22" s="54">
        <f t="shared" si="13"/>
        <v>0</v>
      </c>
      <c r="AX22" s="54">
        <f t="shared" si="14"/>
        <v>0</v>
      </c>
      <c r="AY22" s="54">
        <f t="shared" si="15"/>
        <v>0</v>
      </c>
      <c r="AZ22" s="54">
        <f t="shared" si="16"/>
        <v>0</v>
      </c>
      <c r="BA22" s="54">
        <f t="shared" si="17"/>
        <v>0</v>
      </c>
      <c r="BB22" s="128"/>
      <c r="BC22" s="129"/>
      <c r="BD22" s="129"/>
    </row>
    <row r="23" spans="1:56" s="130" customFormat="1" ht="18" customHeight="1">
      <c r="A23" s="131">
        <v>10</v>
      </c>
      <c r="B23" s="132" t="s">
        <v>551</v>
      </c>
      <c r="C23" s="109"/>
      <c r="D23" s="110"/>
      <c r="E23" s="111"/>
      <c r="F23" s="112"/>
      <c r="G23" s="112"/>
      <c r="H23" s="112"/>
      <c r="I23" s="112"/>
      <c r="J23" s="112"/>
      <c r="K23" s="112"/>
      <c r="L23" s="113"/>
      <c r="M23" s="114"/>
      <c r="N23" s="114"/>
      <c r="O23" s="114"/>
      <c r="P23" s="114"/>
      <c r="Q23" s="114"/>
      <c r="R23" s="114"/>
      <c r="S23" s="115"/>
      <c r="T23" s="133"/>
      <c r="U23" s="133"/>
      <c r="V23" s="134"/>
      <c r="W23" s="134"/>
      <c r="X23" s="134"/>
      <c r="Y23" s="135"/>
      <c r="Z23" s="134">
        <v>22</v>
      </c>
      <c r="AA23" s="136">
        <f t="shared" si="0"/>
        <v>22</v>
      </c>
      <c r="AB23" s="137"/>
      <c r="AC23" s="137"/>
      <c r="AD23" s="137"/>
      <c r="AE23" s="137"/>
      <c r="AF23" s="138"/>
      <c r="AG23" s="137"/>
      <c r="AH23" s="139">
        <f t="shared" si="1"/>
        <v>0</v>
      </c>
      <c r="AI23" s="140" t="s">
        <v>548</v>
      </c>
      <c r="AJ23" s="141">
        <v>19</v>
      </c>
      <c r="AK23" s="141">
        <v>57.4</v>
      </c>
      <c r="AL23" s="142">
        <f t="shared" si="2"/>
        <v>76.400000000000006</v>
      </c>
      <c r="AM23" s="51">
        <f t="shared" si="3"/>
        <v>0</v>
      </c>
      <c r="AN23" s="51">
        <f t="shared" si="4"/>
        <v>0</v>
      </c>
      <c r="AO23" s="51">
        <f t="shared" si="5"/>
        <v>0</v>
      </c>
      <c r="AP23" s="51">
        <f t="shared" si="6"/>
        <v>0</v>
      </c>
      <c r="AQ23" s="51">
        <f t="shared" si="7"/>
        <v>0</v>
      </c>
      <c r="AR23" s="51">
        <f t="shared" si="8"/>
        <v>0</v>
      </c>
      <c r="AS23" s="51">
        <f t="shared" si="9"/>
        <v>1680.8000000000002</v>
      </c>
      <c r="AT23" s="51">
        <f t="shared" si="10"/>
        <v>1680.8000000000002</v>
      </c>
      <c r="AU23" s="54">
        <f t="shared" si="11"/>
        <v>0</v>
      </c>
      <c r="AV23" s="54">
        <f t="shared" si="12"/>
        <v>0</v>
      </c>
      <c r="AW23" s="54">
        <f t="shared" si="13"/>
        <v>0</v>
      </c>
      <c r="AX23" s="54">
        <f t="shared" si="14"/>
        <v>0</v>
      </c>
      <c r="AY23" s="54">
        <f t="shared" si="15"/>
        <v>0</v>
      </c>
      <c r="AZ23" s="54">
        <f t="shared" si="16"/>
        <v>0</v>
      </c>
      <c r="BA23" s="54">
        <f t="shared" si="17"/>
        <v>0</v>
      </c>
      <c r="BB23" s="128"/>
      <c r="BC23" s="129"/>
      <c r="BD23" s="129"/>
    </row>
    <row r="24" spans="1:56" s="130" customFormat="1" ht="18" customHeight="1">
      <c r="A24" s="131">
        <v>11</v>
      </c>
      <c r="B24" s="132" t="s">
        <v>552</v>
      </c>
      <c r="C24" s="109"/>
      <c r="D24" s="110"/>
      <c r="E24" s="111"/>
      <c r="F24" s="112"/>
      <c r="G24" s="112"/>
      <c r="H24" s="112"/>
      <c r="I24" s="112"/>
      <c r="J24" s="112"/>
      <c r="K24" s="112"/>
      <c r="L24" s="113"/>
      <c r="M24" s="114"/>
      <c r="N24" s="114"/>
      <c r="O24" s="114"/>
      <c r="P24" s="114"/>
      <c r="Q24" s="114"/>
      <c r="R24" s="114"/>
      <c r="S24" s="115"/>
      <c r="T24" s="133"/>
      <c r="U24" s="133"/>
      <c r="V24" s="134"/>
      <c r="W24" s="134"/>
      <c r="X24" s="134"/>
      <c r="Y24" s="135"/>
      <c r="Z24" s="134">
        <v>40</v>
      </c>
      <c r="AA24" s="136">
        <f t="shared" si="0"/>
        <v>40</v>
      </c>
      <c r="AB24" s="137"/>
      <c r="AC24" s="137"/>
      <c r="AD24" s="137"/>
      <c r="AE24" s="137"/>
      <c r="AF24" s="138"/>
      <c r="AG24" s="137"/>
      <c r="AH24" s="139">
        <f t="shared" si="1"/>
        <v>0</v>
      </c>
      <c r="AI24" s="140" t="s">
        <v>548</v>
      </c>
      <c r="AJ24" s="141">
        <v>12</v>
      </c>
      <c r="AK24" s="141">
        <v>35.5</v>
      </c>
      <c r="AL24" s="142">
        <f t="shared" si="2"/>
        <v>47.5</v>
      </c>
      <c r="AM24" s="51">
        <f t="shared" si="3"/>
        <v>0</v>
      </c>
      <c r="AN24" s="51">
        <f t="shared" si="4"/>
        <v>0</v>
      </c>
      <c r="AO24" s="51">
        <f t="shared" si="5"/>
        <v>0</v>
      </c>
      <c r="AP24" s="51">
        <f t="shared" si="6"/>
        <v>0</v>
      </c>
      <c r="AQ24" s="51">
        <f t="shared" si="7"/>
        <v>0</v>
      </c>
      <c r="AR24" s="51">
        <f t="shared" si="8"/>
        <v>0</v>
      </c>
      <c r="AS24" s="51">
        <f t="shared" si="9"/>
        <v>1900</v>
      </c>
      <c r="AT24" s="51">
        <f t="shared" si="10"/>
        <v>1900</v>
      </c>
      <c r="AU24" s="54">
        <f t="shared" si="11"/>
        <v>0</v>
      </c>
      <c r="AV24" s="54">
        <f t="shared" si="12"/>
        <v>0</v>
      </c>
      <c r="AW24" s="54">
        <f t="shared" si="13"/>
        <v>0</v>
      </c>
      <c r="AX24" s="54">
        <f t="shared" si="14"/>
        <v>0</v>
      </c>
      <c r="AY24" s="54">
        <f t="shared" si="15"/>
        <v>0</v>
      </c>
      <c r="AZ24" s="54">
        <f t="shared" si="16"/>
        <v>0</v>
      </c>
      <c r="BA24" s="54">
        <f t="shared" si="17"/>
        <v>0</v>
      </c>
      <c r="BB24" s="128"/>
      <c r="BC24" s="129"/>
      <c r="BD24" s="129"/>
    </row>
    <row r="25" spans="1:56" s="130" customFormat="1" ht="18" customHeight="1">
      <c r="A25" s="131">
        <v>12</v>
      </c>
      <c r="B25" s="132" t="s">
        <v>553</v>
      </c>
      <c r="C25" s="109"/>
      <c r="D25" s="110"/>
      <c r="E25" s="111"/>
      <c r="F25" s="112"/>
      <c r="G25" s="112"/>
      <c r="H25" s="112"/>
      <c r="I25" s="112"/>
      <c r="J25" s="112"/>
      <c r="K25" s="112"/>
      <c r="L25" s="113"/>
      <c r="M25" s="114"/>
      <c r="N25" s="114"/>
      <c r="O25" s="114"/>
      <c r="P25" s="114"/>
      <c r="Q25" s="114"/>
      <c r="R25" s="114"/>
      <c r="S25" s="115"/>
      <c r="T25" s="133"/>
      <c r="U25" s="133">
        <v>5</v>
      </c>
      <c r="V25" s="134"/>
      <c r="W25" s="134">
        <v>2</v>
      </c>
      <c r="X25" s="134"/>
      <c r="Y25" s="135"/>
      <c r="Z25" s="134"/>
      <c r="AA25" s="136">
        <f t="shared" si="0"/>
        <v>7</v>
      </c>
      <c r="AB25" s="137"/>
      <c r="AC25" s="137"/>
      <c r="AD25" s="137"/>
      <c r="AE25" s="137"/>
      <c r="AF25" s="138"/>
      <c r="AG25" s="137"/>
      <c r="AH25" s="139">
        <f t="shared" si="1"/>
        <v>0</v>
      </c>
      <c r="AI25" s="140" t="s">
        <v>554</v>
      </c>
      <c r="AJ25" s="141">
        <v>180</v>
      </c>
      <c r="AK25" s="141">
        <v>5400</v>
      </c>
      <c r="AL25" s="142">
        <f t="shared" si="2"/>
        <v>5580</v>
      </c>
      <c r="AM25" s="51">
        <f t="shared" si="3"/>
        <v>0</v>
      </c>
      <c r="AN25" s="51">
        <f t="shared" si="4"/>
        <v>27900</v>
      </c>
      <c r="AO25" s="51">
        <f t="shared" si="5"/>
        <v>0</v>
      </c>
      <c r="AP25" s="51">
        <f t="shared" si="6"/>
        <v>11160</v>
      </c>
      <c r="AQ25" s="51">
        <f t="shared" si="7"/>
        <v>0</v>
      </c>
      <c r="AR25" s="51">
        <f t="shared" si="8"/>
        <v>0</v>
      </c>
      <c r="AS25" s="51">
        <f t="shared" si="9"/>
        <v>0</v>
      </c>
      <c r="AT25" s="51">
        <f t="shared" si="10"/>
        <v>39060</v>
      </c>
      <c r="AU25" s="54">
        <f t="shared" si="11"/>
        <v>0</v>
      </c>
      <c r="AV25" s="54">
        <f t="shared" si="12"/>
        <v>0</v>
      </c>
      <c r="AW25" s="54">
        <f t="shared" si="13"/>
        <v>0</v>
      </c>
      <c r="AX25" s="54">
        <f t="shared" si="14"/>
        <v>0</v>
      </c>
      <c r="AY25" s="54">
        <f t="shared" si="15"/>
        <v>0</v>
      </c>
      <c r="AZ25" s="54">
        <f t="shared" si="16"/>
        <v>0</v>
      </c>
      <c r="BA25" s="54">
        <f t="shared" si="17"/>
        <v>0</v>
      </c>
      <c r="BB25" s="128"/>
      <c r="BC25" s="129"/>
      <c r="BD25" s="129"/>
    </row>
    <row r="26" spans="1:56" s="130" customFormat="1" ht="18" customHeight="1">
      <c r="A26" s="131">
        <v>13</v>
      </c>
      <c r="B26" s="132" t="s">
        <v>555</v>
      </c>
      <c r="C26" s="109"/>
      <c r="D26" s="110"/>
      <c r="E26" s="111"/>
      <c r="F26" s="112"/>
      <c r="G26" s="112"/>
      <c r="H26" s="112"/>
      <c r="I26" s="112"/>
      <c r="J26" s="112"/>
      <c r="K26" s="112"/>
      <c r="L26" s="113"/>
      <c r="M26" s="114"/>
      <c r="N26" s="114"/>
      <c r="O26" s="114"/>
      <c r="P26" s="114"/>
      <c r="Q26" s="114"/>
      <c r="R26" s="114"/>
      <c r="S26" s="115"/>
      <c r="T26" s="133"/>
      <c r="U26" s="133">
        <v>9</v>
      </c>
      <c r="V26" s="134">
        <v>6</v>
      </c>
      <c r="W26" s="134">
        <v>14</v>
      </c>
      <c r="X26" s="134">
        <v>8</v>
      </c>
      <c r="Y26" s="135">
        <v>11</v>
      </c>
      <c r="Z26" s="134"/>
      <c r="AA26" s="136">
        <f t="shared" si="0"/>
        <v>48</v>
      </c>
      <c r="AB26" s="137">
        <v>15</v>
      </c>
      <c r="AC26" s="137">
        <v>21</v>
      </c>
      <c r="AD26" s="137">
        <v>21</v>
      </c>
      <c r="AE26" s="137">
        <v>22</v>
      </c>
      <c r="AF26" s="138">
        <v>12</v>
      </c>
      <c r="AG26" s="137"/>
      <c r="AH26" s="139">
        <f t="shared" si="1"/>
        <v>91</v>
      </c>
      <c r="AI26" s="140" t="s">
        <v>554</v>
      </c>
      <c r="AJ26" s="141">
        <v>110</v>
      </c>
      <c r="AK26" s="141">
        <v>160</v>
      </c>
      <c r="AL26" s="142">
        <f t="shared" si="2"/>
        <v>270</v>
      </c>
      <c r="AM26" s="51">
        <f t="shared" si="3"/>
        <v>0</v>
      </c>
      <c r="AN26" s="51">
        <f t="shared" si="4"/>
        <v>2430</v>
      </c>
      <c r="AO26" s="51">
        <f t="shared" si="5"/>
        <v>1620</v>
      </c>
      <c r="AP26" s="51">
        <f t="shared" si="6"/>
        <v>3780</v>
      </c>
      <c r="AQ26" s="51">
        <f t="shared" si="7"/>
        <v>2160</v>
      </c>
      <c r="AR26" s="51">
        <f t="shared" si="8"/>
        <v>2970</v>
      </c>
      <c r="AS26" s="51">
        <f t="shared" si="9"/>
        <v>0</v>
      </c>
      <c r="AT26" s="51">
        <f t="shared" si="10"/>
        <v>12960</v>
      </c>
      <c r="AU26" s="54">
        <f t="shared" si="11"/>
        <v>4050</v>
      </c>
      <c r="AV26" s="54">
        <f t="shared" si="12"/>
        <v>5670</v>
      </c>
      <c r="AW26" s="54">
        <f t="shared" si="13"/>
        <v>5670</v>
      </c>
      <c r="AX26" s="54">
        <f t="shared" si="14"/>
        <v>5940</v>
      </c>
      <c r="AY26" s="54">
        <f t="shared" si="15"/>
        <v>3240</v>
      </c>
      <c r="AZ26" s="54">
        <f t="shared" si="16"/>
        <v>0</v>
      </c>
      <c r="BA26" s="54">
        <f t="shared" si="17"/>
        <v>24570</v>
      </c>
      <c r="BB26" s="128"/>
      <c r="BC26" s="129"/>
      <c r="BD26" s="129"/>
    </row>
    <row r="27" spans="1:56" s="130" customFormat="1" ht="18" customHeight="1">
      <c r="A27" s="131">
        <v>14</v>
      </c>
      <c r="B27" s="132" t="s">
        <v>556</v>
      </c>
      <c r="C27" s="109"/>
      <c r="D27" s="110"/>
      <c r="E27" s="111"/>
      <c r="F27" s="112"/>
      <c r="G27" s="112"/>
      <c r="H27" s="112"/>
      <c r="I27" s="112"/>
      <c r="J27" s="112"/>
      <c r="K27" s="112"/>
      <c r="L27" s="113"/>
      <c r="M27" s="114"/>
      <c r="N27" s="114"/>
      <c r="O27" s="114"/>
      <c r="P27" s="114"/>
      <c r="Q27" s="114"/>
      <c r="R27" s="114"/>
      <c r="S27" s="115"/>
      <c r="T27" s="133"/>
      <c r="U27" s="133">
        <v>15</v>
      </c>
      <c r="V27" s="134">
        <v>18</v>
      </c>
      <c r="W27" s="134">
        <v>19</v>
      </c>
      <c r="X27" s="134">
        <v>19</v>
      </c>
      <c r="Y27" s="135">
        <v>23</v>
      </c>
      <c r="Z27" s="117"/>
      <c r="AA27" s="136">
        <f t="shared" si="0"/>
        <v>94</v>
      </c>
      <c r="AB27" s="137">
        <v>27</v>
      </c>
      <c r="AC27" s="137">
        <v>27</v>
      </c>
      <c r="AD27" s="137">
        <v>30</v>
      </c>
      <c r="AE27" s="137">
        <v>29</v>
      </c>
      <c r="AF27" s="138">
        <v>21</v>
      </c>
      <c r="AG27" s="137"/>
      <c r="AH27" s="139">
        <f t="shared" si="1"/>
        <v>134</v>
      </c>
      <c r="AI27" s="140" t="s">
        <v>554</v>
      </c>
      <c r="AJ27" s="141">
        <v>180</v>
      </c>
      <c r="AK27" s="141">
        <v>180</v>
      </c>
      <c r="AL27" s="142">
        <f t="shared" si="2"/>
        <v>360</v>
      </c>
      <c r="AM27" s="51">
        <f t="shared" si="3"/>
        <v>0</v>
      </c>
      <c r="AN27" s="51">
        <f t="shared" si="4"/>
        <v>5400</v>
      </c>
      <c r="AO27" s="51">
        <f t="shared" si="5"/>
        <v>6480</v>
      </c>
      <c r="AP27" s="51">
        <f t="shared" si="6"/>
        <v>6840</v>
      </c>
      <c r="AQ27" s="51">
        <f t="shared" si="7"/>
        <v>6840</v>
      </c>
      <c r="AR27" s="51">
        <f t="shared" si="8"/>
        <v>8280</v>
      </c>
      <c r="AS27" s="51">
        <f t="shared" si="9"/>
        <v>0</v>
      </c>
      <c r="AT27" s="51">
        <f t="shared" si="10"/>
        <v>33840</v>
      </c>
      <c r="AU27" s="54">
        <f t="shared" si="11"/>
        <v>9720</v>
      </c>
      <c r="AV27" s="54">
        <f t="shared" si="12"/>
        <v>9720</v>
      </c>
      <c r="AW27" s="54">
        <f t="shared" si="13"/>
        <v>10800</v>
      </c>
      <c r="AX27" s="54">
        <f t="shared" si="14"/>
        <v>10440</v>
      </c>
      <c r="AY27" s="54">
        <f t="shared" si="15"/>
        <v>7560</v>
      </c>
      <c r="AZ27" s="54">
        <f t="shared" si="16"/>
        <v>0</v>
      </c>
      <c r="BA27" s="54">
        <f t="shared" si="17"/>
        <v>48240</v>
      </c>
      <c r="BB27" s="128"/>
      <c r="BC27" s="129"/>
      <c r="BD27" s="129"/>
    </row>
    <row r="28" spans="1:56" s="130" customFormat="1" ht="18" customHeight="1">
      <c r="A28" s="131">
        <v>15</v>
      </c>
      <c r="B28" s="132" t="s">
        <v>557</v>
      </c>
      <c r="C28" s="109"/>
      <c r="D28" s="110"/>
      <c r="E28" s="111"/>
      <c r="F28" s="112"/>
      <c r="G28" s="112"/>
      <c r="H28" s="112"/>
      <c r="I28" s="112"/>
      <c r="J28" s="112"/>
      <c r="K28" s="112"/>
      <c r="L28" s="113"/>
      <c r="M28" s="114"/>
      <c r="N28" s="114"/>
      <c r="O28" s="114"/>
      <c r="P28" s="114"/>
      <c r="Q28" s="114"/>
      <c r="R28" s="114"/>
      <c r="S28" s="115"/>
      <c r="T28" s="133"/>
      <c r="U28" s="133">
        <v>59</v>
      </c>
      <c r="V28" s="134">
        <v>53</v>
      </c>
      <c r="W28" s="134">
        <v>75</v>
      </c>
      <c r="X28" s="134">
        <v>53</v>
      </c>
      <c r="Y28" s="135">
        <v>75</v>
      </c>
      <c r="Z28" s="117"/>
      <c r="AA28" s="136">
        <f t="shared" si="0"/>
        <v>315</v>
      </c>
      <c r="AB28" s="137">
        <v>52</v>
      </c>
      <c r="AC28" s="137">
        <v>54</v>
      </c>
      <c r="AD28" s="137">
        <v>65</v>
      </c>
      <c r="AE28" s="137">
        <v>57</v>
      </c>
      <c r="AF28" s="138">
        <v>65</v>
      </c>
      <c r="AG28" s="137"/>
      <c r="AH28" s="139">
        <f t="shared" si="1"/>
        <v>293</v>
      </c>
      <c r="AI28" s="140" t="s">
        <v>554</v>
      </c>
      <c r="AJ28" s="141">
        <v>70</v>
      </c>
      <c r="AK28" s="141">
        <v>75</v>
      </c>
      <c r="AL28" s="142">
        <f t="shared" si="2"/>
        <v>145</v>
      </c>
      <c r="AM28" s="51">
        <f t="shared" si="3"/>
        <v>0</v>
      </c>
      <c r="AN28" s="51">
        <f t="shared" si="4"/>
        <v>8555</v>
      </c>
      <c r="AO28" s="51">
        <f t="shared" si="5"/>
        <v>7685</v>
      </c>
      <c r="AP28" s="51">
        <f t="shared" si="6"/>
        <v>10875</v>
      </c>
      <c r="AQ28" s="51">
        <f t="shared" si="7"/>
        <v>7685</v>
      </c>
      <c r="AR28" s="51">
        <f t="shared" si="8"/>
        <v>10875</v>
      </c>
      <c r="AS28" s="51">
        <f t="shared" si="9"/>
        <v>0</v>
      </c>
      <c r="AT28" s="51">
        <f t="shared" si="10"/>
        <v>45675</v>
      </c>
      <c r="AU28" s="54">
        <f t="shared" si="11"/>
        <v>7540</v>
      </c>
      <c r="AV28" s="54">
        <f t="shared" si="12"/>
        <v>7830</v>
      </c>
      <c r="AW28" s="54">
        <f t="shared" si="13"/>
        <v>9425</v>
      </c>
      <c r="AX28" s="54">
        <f t="shared" si="14"/>
        <v>8265</v>
      </c>
      <c r="AY28" s="54">
        <f t="shared" si="15"/>
        <v>9425</v>
      </c>
      <c r="AZ28" s="54">
        <f t="shared" si="16"/>
        <v>0</v>
      </c>
      <c r="BA28" s="54">
        <f t="shared" si="17"/>
        <v>42485</v>
      </c>
      <c r="BB28" s="128"/>
      <c r="BC28" s="129"/>
      <c r="BD28" s="129"/>
    </row>
    <row r="29" spans="1:56" s="130" customFormat="1" ht="18" customHeight="1">
      <c r="A29" s="131">
        <v>16</v>
      </c>
      <c r="B29" s="132" t="s">
        <v>558</v>
      </c>
      <c r="C29" s="109"/>
      <c r="D29" s="110"/>
      <c r="E29" s="111"/>
      <c r="F29" s="112"/>
      <c r="G29" s="112"/>
      <c r="H29" s="112"/>
      <c r="I29" s="112"/>
      <c r="J29" s="112"/>
      <c r="K29" s="112"/>
      <c r="L29" s="113"/>
      <c r="M29" s="114"/>
      <c r="N29" s="114"/>
      <c r="O29" s="114"/>
      <c r="P29" s="114"/>
      <c r="Q29" s="114"/>
      <c r="R29" s="114"/>
      <c r="S29" s="115"/>
      <c r="T29" s="133"/>
      <c r="U29" s="133">
        <v>1</v>
      </c>
      <c r="V29" s="134">
        <v>5</v>
      </c>
      <c r="W29" s="134">
        <v>7</v>
      </c>
      <c r="X29" s="134">
        <v>6</v>
      </c>
      <c r="Y29" s="135">
        <v>7</v>
      </c>
      <c r="Z29" s="117"/>
      <c r="AA29" s="136">
        <f t="shared" si="0"/>
        <v>26</v>
      </c>
      <c r="AB29" s="137"/>
      <c r="AC29" s="137">
        <v>4</v>
      </c>
      <c r="AD29" s="137">
        <v>2</v>
      </c>
      <c r="AE29" s="137">
        <v>4</v>
      </c>
      <c r="AF29" s="138">
        <v>3</v>
      </c>
      <c r="AG29" s="137"/>
      <c r="AH29" s="139">
        <f t="shared" si="1"/>
        <v>13</v>
      </c>
      <c r="AI29" s="140" t="s">
        <v>554</v>
      </c>
      <c r="AJ29" s="141">
        <v>390</v>
      </c>
      <c r="AK29" s="141">
        <v>390</v>
      </c>
      <c r="AL29" s="142">
        <f t="shared" si="2"/>
        <v>780</v>
      </c>
      <c r="AM29" s="51">
        <f t="shared" si="3"/>
        <v>0</v>
      </c>
      <c r="AN29" s="51">
        <f t="shared" si="4"/>
        <v>780</v>
      </c>
      <c r="AO29" s="51">
        <f t="shared" si="5"/>
        <v>3900</v>
      </c>
      <c r="AP29" s="51">
        <f t="shared" si="6"/>
        <v>5460</v>
      </c>
      <c r="AQ29" s="51">
        <f t="shared" si="7"/>
        <v>4680</v>
      </c>
      <c r="AR29" s="51">
        <f t="shared" si="8"/>
        <v>5460</v>
      </c>
      <c r="AS29" s="51">
        <f t="shared" si="9"/>
        <v>0</v>
      </c>
      <c r="AT29" s="51">
        <f t="shared" si="10"/>
        <v>20280</v>
      </c>
      <c r="AU29" s="54">
        <f t="shared" si="11"/>
        <v>0</v>
      </c>
      <c r="AV29" s="54">
        <f t="shared" si="12"/>
        <v>3120</v>
      </c>
      <c r="AW29" s="54">
        <f t="shared" si="13"/>
        <v>1560</v>
      </c>
      <c r="AX29" s="54">
        <f t="shared" si="14"/>
        <v>3120</v>
      </c>
      <c r="AY29" s="54">
        <f t="shared" si="15"/>
        <v>2340</v>
      </c>
      <c r="AZ29" s="54">
        <f t="shared" si="16"/>
        <v>0</v>
      </c>
      <c r="BA29" s="54">
        <f t="shared" si="17"/>
        <v>10140</v>
      </c>
      <c r="BB29" s="128"/>
      <c r="BC29" s="129"/>
      <c r="BD29" s="129"/>
    </row>
    <row r="30" spans="1:56" s="130" customFormat="1" ht="18" customHeight="1">
      <c r="A30" s="131">
        <v>17</v>
      </c>
      <c r="B30" s="132" t="s">
        <v>559</v>
      </c>
      <c r="C30" s="109"/>
      <c r="D30" s="110"/>
      <c r="E30" s="111"/>
      <c r="F30" s="112"/>
      <c r="G30" s="112"/>
      <c r="H30" s="112"/>
      <c r="I30" s="112"/>
      <c r="J30" s="112"/>
      <c r="K30" s="112"/>
      <c r="L30" s="113"/>
      <c r="M30" s="114"/>
      <c r="N30" s="114"/>
      <c r="O30" s="114"/>
      <c r="P30" s="114"/>
      <c r="Q30" s="114"/>
      <c r="R30" s="114"/>
      <c r="S30" s="115"/>
      <c r="T30" s="133"/>
      <c r="U30" s="133">
        <v>158</v>
      </c>
      <c r="V30" s="134">
        <v>158</v>
      </c>
      <c r="W30" s="134">
        <v>158</v>
      </c>
      <c r="X30" s="134">
        <v>158</v>
      </c>
      <c r="Y30" s="135">
        <v>158</v>
      </c>
      <c r="Z30" s="117"/>
      <c r="AA30" s="136">
        <f t="shared" si="0"/>
        <v>790</v>
      </c>
      <c r="AB30" s="137">
        <v>168</v>
      </c>
      <c r="AC30" s="137">
        <v>180</v>
      </c>
      <c r="AD30" s="137">
        <v>180</v>
      </c>
      <c r="AE30" s="137">
        <v>180</v>
      </c>
      <c r="AF30" s="138">
        <v>180</v>
      </c>
      <c r="AG30" s="137"/>
      <c r="AH30" s="139">
        <f t="shared" si="1"/>
        <v>888</v>
      </c>
      <c r="AI30" s="140" t="s">
        <v>554</v>
      </c>
      <c r="AJ30" s="141">
        <v>50</v>
      </c>
      <c r="AK30" s="141">
        <v>55</v>
      </c>
      <c r="AL30" s="142">
        <f t="shared" si="2"/>
        <v>105</v>
      </c>
      <c r="AM30" s="51">
        <f t="shared" si="3"/>
        <v>0</v>
      </c>
      <c r="AN30" s="51">
        <f t="shared" si="4"/>
        <v>16590</v>
      </c>
      <c r="AO30" s="51">
        <f t="shared" si="5"/>
        <v>16590</v>
      </c>
      <c r="AP30" s="51">
        <f t="shared" si="6"/>
        <v>16590</v>
      </c>
      <c r="AQ30" s="51">
        <f t="shared" si="7"/>
        <v>16590</v>
      </c>
      <c r="AR30" s="51">
        <f t="shared" si="8"/>
        <v>16590</v>
      </c>
      <c r="AS30" s="51">
        <f t="shared" si="9"/>
        <v>0</v>
      </c>
      <c r="AT30" s="51">
        <f t="shared" si="10"/>
        <v>82950</v>
      </c>
      <c r="AU30" s="54">
        <f t="shared" si="11"/>
        <v>17640</v>
      </c>
      <c r="AV30" s="54">
        <f t="shared" si="12"/>
        <v>18900</v>
      </c>
      <c r="AW30" s="54">
        <f t="shared" si="13"/>
        <v>18900</v>
      </c>
      <c r="AX30" s="54">
        <f t="shared" si="14"/>
        <v>18900</v>
      </c>
      <c r="AY30" s="54">
        <f t="shared" si="15"/>
        <v>18900</v>
      </c>
      <c r="AZ30" s="54">
        <f t="shared" si="16"/>
        <v>0</v>
      </c>
      <c r="BA30" s="54">
        <f t="shared" si="17"/>
        <v>93240</v>
      </c>
      <c r="BB30" s="128"/>
      <c r="BC30" s="129"/>
      <c r="BD30" s="129"/>
    </row>
    <row r="31" spans="1:56" s="130" customFormat="1" ht="18" customHeight="1">
      <c r="A31" s="131">
        <v>18</v>
      </c>
      <c r="B31" s="132" t="s">
        <v>560</v>
      </c>
      <c r="C31" s="109"/>
      <c r="D31" s="110"/>
      <c r="E31" s="111"/>
      <c r="F31" s="112"/>
      <c r="G31" s="112"/>
      <c r="H31" s="112"/>
      <c r="I31" s="112"/>
      <c r="J31" s="112"/>
      <c r="K31" s="112"/>
      <c r="L31" s="113"/>
      <c r="M31" s="114"/>
      <c r="N31" s="114"/>
      <c r="O31" s="114"/>
      <c r="P31" s="114"/>
      <c r="Q31" s="114"/>
      <c r="R31" s="114"/>
      <c r="S31" s="115"/>
      <c r="T31" s="133"/>
      <c r="U31" s="133">
        <v>175</v>
      </c>
      <c r="V31" s="134">
        <v>175</v>
      </c>
      <c r="W31" s="134">
        <v>205</v>
      </c>
      <c r="X31" s="134">
        <v>175</v>
      </c>
      <c r="Y31" s="135">
        <v>150</v>
      </c>
      <c r="Z31" s="117"/>
      <c r="AA31" s="136">
        <f t="shared" si="0"/>
        <v>880</v>
      </c>
      <c r="AB31" s="137">
        <v>165</v>
      </c>
      <c r="AC31" s="137">
        <v>165</v>
      </c>
      <c r="AD31" s="137">
        <v>196</v>
      </c>
      <c r="AE31" s="137">
        <v>170</v>
      </c>
      <c r="AF31" s="138">
        <v>157</v>
      </c>
      <c r="AG31" s="137"/>
      <c r="AH31" s="139">
        <f t="shared" si="1"/>
        <v>853</v>
      </c>
      <c r="AI31" s="140" t="s">
        <v>554</v>
      </c>
      <c r="AJ31" s="141">
        <v>60</v>
      </c>
      <c r="AK31" s="141">
        <v>65</v>
      </c>
      <c r="AL31" s="142">
        <f t="shared" si="2"/>
        <v>125</v>
      </c>
      <c r="AM31" s="51">
        <f t="shared" si="3"/>
        <v>0</v>
      </c>
      <c r="AN31" s="51">
        <f t="shared" si="4"/>
        <v>21875</v>
      </c>
      <c r="AO31" s="51">
        <f t="shared" si="5"/>
        <v>21875</v>
      </c>
      <c r="AP31" s="51">
        <f t="shared" si="6"/>
        <v>25625</v>
      </c>
      <c r="AQ31" s="51">
        <f t="shared" si="7"/>
        <v>21875</v>
      </c>
      <c r="AR31" s="51">
        <f t="shared" si="8"/>
        <v>18750</v>
      </c>
      <c r="AS31" s="51">
        <f t="shared" si="9"/>
        <v>0</v>
      </c>
      <c r="AT31" s="51">
        <f t="shared" si="10"/>
        <v>110000</v>
      </c>
      <c r="AU31" s="54">
        <f t="shared" si="11"/>
        <v>20625</v>
      </c>
      <c r="AV31" s="54">
        <f t="shared" si="12"/>
        <v>20625</v>
      </c>
      <c r="AW31" s="54">
        <f t="shared" si="13"/>
        <v>24500</v>
      </c>
      <c r="AX31" s="54">
        <f t="shared" si="14"/>
        <v>21250</v>
      </c>
      <c r="AY31" s="54">
        <f t="shared" si="15"/>
        <v>19625</v>
      </c>
      <c r="AZ31" s="54">
        <f t="shared" si="16"/>
        <v>0</v>
      </c>
      <c r="BA31" s="54">
        <f t="shared" si="17"/>
        <v>106625</v>
      </c>
      <c r="BB31" s="128"/>
      <c r="BC31" s="129"/>
      <c r="BD31" s="129"/>
    </row>
    <row r="32" spans="1:56" s="130" customFormat="1" ht="18" customHeight="1">
      <c r="A32" s="131">
        <v>19</v>
      </c>
      <c r="B32" s="132" t="s">
        <v>561</v>
      </c>
      <c r="C32" s="109"/>
      <c r="D32" s="110"/>
      <c r="E32" s="111"/>
      <c r="F32" s="112"/>
      <c r="G32" s="112"/>
      <c r="H32" s="112"/>
      <c r="I32" s="112"/>
      <c r="J32" s="112"/>
      <c r="K32" s="112"/>
      <c r="L32" s="113"/>
      <c r="M32" s="114"/>
      <c r="N32" s="114"/>
      <c r="O32" s="114"/>
      <c r="P32" s="114"/>
      <c r="Q32" s="114"/>
      <c r="R32" s="114"/>
      <c r="S32" s="115"/>
      <c r="T32" s="133"/>
      <c r="U32" s="133">
        <v>41</v>
      </c>
      <c r="V32" s="134">
        <v>41</v>
      </c>
      <c r="W32" s="134">
        <v>47</v>
      </c>
      <c r="X32" s="134">
        <v>42</v>
      </c>
      <c r="Y32" s="135">
        <v>46</v>
      </c>
      <c r="Z32" s="117"/>
      <c r="AA32" s="136">
        <f t="shared" si="0"/>
        <v>217</v>
      </c>
      <c r="AB32" s="137">
        <v>48</v>
      </c>
      <c r="AC32" s="137">
        <v>56</v>
      </c>
      <c r="AD32" s="137">
        <v>58</v>
      </c>
      <c r="AE32" s="137">
        <v>59</v>
      </c>
      <c r="AF32" s="138">
        <v>39</v>
      </c>
      <c r="AG32" s="137"/>
      <c r="AH32" s="139">
        <f t="shared" si="1"/>
        <v>260</v>
      </c>
      <c r="AI32" s="140" t="s">
        <v>548</v>
      </c>
      <c r="AJ32" s="141">
        <v>90</v>
      </c>
      <c r="AK32" s="141">
        <v>90</v>
      </c>
      <c r="AL32" s="142">
        <f t="shared" si="2"/>
        <v>180</v>
      </c>
      <c r="AM32" s="51">
        <f t="shared" si="3"/>
        <v>0</v>
      </c>
      <c r="AN32" s="51">
        <f t="shared" si="4"/>
        <v>7380</v>
      </c>
      <c r="AO32" s="51">
        <f t="shared" si="5"/>
        <v>7380</v>
      </c>
      <c r="AP32" s="51">
        <f t="shared" si="6"/>
        <v>8460</v>
      </c>
      <c r="AQ32" s="51">
        <f t="shared" si="7"/>
        <v>7560</v>
      </c>
      <c r="AR32" s="51">
        <f t="shared" si="8"/>
        <v>8280</v>
      </c>
      <c r="AS32" s="51">
        <f t="shared" si="9"/>
        <v>0</v>
      </c>
      <c r="AT32" s="51">
        <f t="shared" si="10"/>
        <v>39060</v>
      </c>
      <c r="AU32" s="54">
        <f t="shared" si="11"/>
        <v>8640</v>
      </c>
      <c r="AV32" s="54">
        <f t="shared" si="12"/>
        <v>10080</v>
      </c>
      <c r="AW32" s="54">
        <f t="shared" si="13"/>
        <v>10440</v>
      </c>
      <c r="AX32" s="54">
        <f t="shared" si="14"/>
        <v>10620</v>
      </c>
      <c r="AY32" s="54">
        <f t="shared" si="15"/>
        <v>7020</v>
      </c>
      <c r="AZ32" s="54">
        <f t="shared" si="16"/>
        <v>0</v>
      </c>
      <c r="BA32" s="54">
        <f t="shared" si="17"/>
        <v>46800</v>
      </c>
      <c r="BB32" s="128"/>
      <c r="BC32" s="129"/>
      <c r="BD32" s="129"/>
    </row>
    <row r="33" spans="1:56" s="130" customFormat="1" ht="18" customHeight="1">
      <c r="A33" s="131">
        <v>20</v>
      </c>
      <c r="B33" s="132" t="s">
        <v>562</v>
      </c>
      <c r="C33" s="109"/>
      <c r="D33" s="110"/>
      <c r="E33" s="111"/>
      <c r="F33" s="112"/>
      <c r="G33" s="112"/>
      <c r="H33" s="112"/>
      <c r="I33" s="112"/>
      <c r="J33" s="112"/>
      <c r="K33" s="112"/>
      <c r="L33" s="113"/>
      <c r="M33" s="114"/>
      <c r="N33" s="114"/>
      <c r="O33" s="114"/>
      <c r="P33" s="114"/>
      <c r="Q33" s="114"/>
      <c r="R33" s="114"/>
      <c r="S33" s="115"/>
      <c r="T33" s="133"/>
      <c r="U33" s="133">
        <v>6</v>
      </c>
      <c r="V33" s="134">
        <v>9</v>
      </c>
      <c r="W33" s="134">
        <v>11</v>
      </c>
      <c r="X33" s="134">
        <v>9</v>
      </c>
      <c r="Y33" s="135">
        <v>14</v>
      </c>
      <c r="Z33" s="117"/>
      <c r="AA33" s="136">
        <f t="shared" si="0"/>
        <v>49</v>
      </c>
      <c r="AB33" s="137">
        <v>7</v>
      </c>
      <c r="AC33" s="137">
        <v>9</v>
      </c>
      <c r="AD33" s="137">
        <v>9</v>
      </c>
      <c r="AE33" s="137">
        <v>9</v>
      </c>
      <c r="AF33" s="138">
        <v>9</v>
      </c>
      <c r="AG33" s="137"/>
      <c r="AH33" s="139">
        <f t="shared" si="1"/>
        <v>43</v>
      </c>
      <c r="AI33" s="140" t="s">
        <v>548</v>
      </c>
      <c r="AJ33" s="141">
        <v>90</v>
      </c>
      <c r="AK33" s="141">
        <v>90</v>
      </c>
      <c r="AL33" s="142">
        <f t="shared" si="2"/>
        <v>180</v>
      </c>
      <c r="AM33" s="51">
        <f t="shared" si="3"/>
        <v>0</v>
      </c>
      <c r="AN33" s="51">
        <f t="shared" si="4"/>
        <v>1080</v>
      </c>
      <c r="AO33" s="51">
        <f t="shared" si="5"/>
        <v>1620</v>
      </c>
      <c r="AP33" s="51">
        <f t="shared" si="6"/>
        <v>1980</v>
      </c>
      <c r="AQ33" s="51">
        <f t="shared" si="7"/>
        <v>1620</v>
      </c>
      <c r="AR33" s="51">
        <f t="shared" si="8"/>
        <v>2520</v>
      </c>
      <c r="AS33" s="51">
        <f t="shared" si="9"/>
        <v>0</v>
      </c>
      <c r="AT33" s="51">
        <f t="shared" si="10"/>
        <v>8820</v>
      </c>
      <c r="AU33" s="54">
        <f t="shared" si="11"/>
        <v>1260</v>
      </c>
      <c r="AV33" s="54">
        <f t="shared" si="12"/>
        <v>1620</v>
      </c>
      <c r="AW33" s="54">
        <f t="shared" si="13"/>
        <v>1620</v>
      </c>
      <c r="AX33" s="54">
        <f t="shared" si="14"/>
        <v>1620</v>
      </c>
      <c r="AY33" s="54">
        <f t="shared" si="15"/>
        <v>1620</v>
      </c>
      <c r="AZ33" s="54">
        <f t="shared" si="16"/>
        <v>0</v>
      </c>
      <c r="BA33" s="54">
        <f t="shared" si="17"/>
        <v>7740</v>
      </c>
      <c r="BB33" s="128"/>
      <c r="BC33" s="129"/>
      <c r="BD33" s="129"/>
    </row>
    <row r="34" spans="1:56" s="130" customFormat="1" ht="18" customHeight="1">
      <c r="A34" s="131">
        <v>21</v>
      </c>
      <c r="B34" s="132" t="s">
        <v>563</v>
      </c>
      <c r="C34" s="109"/>
      <c r="D34" s="110"/>
      <c r="E34" s="111"/>
      <c r="F34" s="112"/>
      <c r="G34" s="112"/>
      <c r="H34" s="112"/>
      <c r="I34" s="112"/>
      <c r="J34" s="112"/>
      <c r="K34" s="112"/>
      <c r="L34" s="113"/>
      <c r="M34" s="114"/>
      <c r="N34" s="114"/>
      <c r="O34" s="114"/>
      <c r="P34" s="114"/>
      <c r="Q34" s="114"/>
      <c r="R34" s="114"/>
      <c r="S34" s="115"/>
      <c r="T34" s="133"/>
      <c r="U34" s="133">
        <v>25</v>
      </c>
      <c r="V34" s="134">
        <v>26</v>
      </c>
      <c r="W34" s="134">
        <v>29</v>
      </c>
      <c r="X34" s="134">
        <v>29</v>
      </c>
      <c r="Y34" s="135">
        <v>26</v>
      </c>
      <c r="Z34" s="117"/>
      <c r="AA34" s="136">
        <f t="shared" si="0"/>
        <v>135</v>
      </c>
      <c r="AB34" s="137">
        <v>30</v>
      </c>
      <c r="AC34" s="137">
        <v>33</v>
      </c>
      <c r="AD34" s="137">
        <v>37</v>
      </c>
      <c r="AE34" s="137">
        <v>34</v>
      </c>
      <c r="AF34" s="138">
        <v>25</v>
      </c>
      <c r="AG34" s="137"/>
      <c r="AH34" s="139">
        <f t="shared" si="1"/>
        <v>159</v>
      </c>
      <c r="AI34" s="140" t="s">
        <v>548</v>
      </c>
      <c r="AJ34" s="141">
        <v>90</v>
      </c>
      <c r="AK34" s="141">
        <v>90</v>
      </c>
      <c r="AL34" s="142">
        <f t="shared" si="2"/>
        <v>180</v>
      </c>
      <c r="AM34" s="51">
        <f t="shared" si="3"/>
        <v>0</v>
      </c>
      <c r="AN34" s="51">
        <f t="shared" si="4"/>
        <v>4500</v>
      </c>
      <c r="AO34" s="51">
        <f t="shared" si="5"/>
        <v>4680</v>
      </c>
      <c r="AP34" s="51">
        <f t="shared" si="6"/>
        <v>5220</v>
      </c>
      <c r="AQ34" s="51">
        <f t="shared" si="7"/>
        <v>5220</v>
      </c>
      <c r="AR34" s="51">
        <f t="shared" si="8"/>
        <v>4680</v>
      </c>
      <c r="AS34" s="51">
        <f t="shared" si="9"/>
        <v>0</v>
      </c>
      <c r="AT34" s="51">
        <f t="shared" si="10"/>
        <v>24300</v>
      </c>
      <c r="AU34" s="54">
        <f t="shared" si="11"/>
        <v>5400</v>
      </c>
      <c r="AV34" s="54">
        <f t="shared" si="12"/>
        <v>5940</v>
      </c>
      <c r="AW34" s="54">
        <f t="shared" si="13"/>
        <v>6660</v>
      </c>
      <c r="AX34" s="54">
        <f t="shared" si="14"/>
        <v>6120</v>
      </c>
      <c r="AY34" s="54">
        <f t="shared" si="15"/>
        <v>4500</v>
      </c>
      <c r="AZ34" s="54">
        <f t="shared" si="16"/>
        <v>0</v>
      </c>
      <c r="BA34" s="54">
        <f t="shared" si="17"/>
        <v>28620</v>
      </c>
      <c r="BB34" s="128"/>
      <c r="BC34" s="129"/>
      <c r="BD34" s="129"/>
    </row>
    <row r="35" spans="1:56" s="130" customFormat="1" ht="18" customHeight="1">
      <c r="A35" s="131">
        <v>22</v>
      </c>
      <c r="B35" s="132" t="s">
        <v>564</v>
      </c>
      <c r="C35" s="109"/>
      <c r="D35" s="110"/>
      <c r="E35" s="111"/>
      <c r="F35" s="112"/>
      <c r="G35" s="112"/>
      <c r="H35" s="112"/>
      <c r="I35" s="112"/>
      <c r="J35" s="112"/>
      <c r="K35" s="112"/>
      <c r="L35" s="113"/>
      <c r="M35" s="114"/>
      <c r="N35" s="114"/>
      <c r="O35" s="114"/>
      <c r="P35" s="114"/>
      <c r="Q35" s="114"/>
      <c r="R35" s="114"/>
      <c r="S35" s="115"/>
      <c r="T35" s="133"/>
      <c r="U35" s="133">
        <v>50</v>
      </c>
      <c r="V35" s="134">
        <v>40</v>
      </c>
      <c r="W35" s="134">
        <v>46</v>
      </c>
      <c r="X35" s="134">
        <v>41</v>
      </c>
      <c r="Y35" s="135">
        <v>46</v>
      </c>
      <c r="Z35" s="117"/>
      <c r="AA35" s="136">
        <f t="shared" si="0"/>
        <v>223</v>
      </c>
      <c r="AB35" s="137">
        <v>48</v>
      </c>
      <c r="AC35" s="137">
        <v>56</v>
      </c>
      <c r="AD35" s="137">
        <v>58</v>
      </c>
      <c r="AE35" s="137">
        <v>59</v>
      </c>
      <c r="AF35" s="138">
        <v>39</v>
      </c>
      <c r="AG35" s="137"/>
      <c r="AH35" s="139">
        <f t="shared" si="1"/>
        <v>260</v>
      </c>
      <c r="AI35" s="140" t="s">
        <v>548</v>
      </c>
      <c r="AJ35" s="141">
        <v>90</v>
      </c>
      <c r="AK35" s="141">
        <v>90</v>
      </c>
      <c r="AL35" s="142">
        <f t="shared" si="2"/>
        <v>180</v>
      </c>
      <c r="AM35" s="51">
        <f t="shared" si="3"/>
        <v>0</v>
      </c>
      <c r="AN35" s="51">
        <f t="shared" si="4"/>
        <v>9000</v>
      </c>
      <c r="AO35" s="51">
        <f t="shared" si="5"/>
        <v>7200</v>
      </c>
      <c r="AP35" s="51">
        <f t="shared" si="6"/>
        <v>8280</v>
      </c>
      <c r="AQ35" s="51">
        <f t="shared" si="7"/>
        <v>7380</v>
      </c>
      <c r="AR35" s="51">
        <f t="shared" si="8"/>
        <v>8280</v>
      </c>
      <c r="AS35" s="51">
        <f t="shared" si="9"/>
        <v>0</v>
      </c>
      <c r="AT35" s="51">
        <f t="shared" si="10"/>
        <v>40140</v>
      </c>
      <c r="AU35" s="54">
        <f t="shared" si="11"/>
        <v>8640</v>
      </c>
      <c r="AV35" s="54">
        <f t="shared" si="12"/>
        <v>10080</v>
      </c>
      <c r="AW35" s="54">
        <f t="shared" si="13"/>
        <v>10440</v>
      </c>
      <c r="AX35" s="54">
        <f t="shared" si="14"/>
        <v>10620</v>
      </c>
      <c r="AY35" s="54">
        <f t="shared" si="15"/>
        <v>7020</v>
      </c>
      <c r="AZ35" s="54">
        <f t="shared" si="16"/>
        <v>0</v>
      </c>
      <c r="BA35" s="54">
        <f t="shared" si="17"/>
        <v>46800</v>
      </c>
      <c r="BB35" s="128"/>
      <c r="BC35" s="129"/>
      <c r="BD35" s="129"/>
    </row>
    <row r="36" spans="1:56" s="130" customFormat="1" ht="18" customHeight="1">
      <c r="A36" s="131">
        <v>23</v>
      </c>
      <c r="B36" s="132" t="s">
        <v>565</v>
      </c>
      <c r="C36" s="109"/>
      <c r="D36" s="110"/>
      <c r="E36" s="111"/>
      <c r="F36" s="112"/>
      <c r="G36" s="112"/>
      <c r="H36" s="112"/>
      <c r="I36" s="112"/>
      <c r="J36" s="112"/>
      <c r="K36" s="112"/>
      <c r="L36" s="113"/>
      <c r="M36" s="114"/>
      <c r="N36" s="114"/>
      <c r="O36" s="114"/>
      <c r="P36" s="114"/>
      <c r="Q36" s="114"/>
      <c r="R36" s="114"/>
      <c r="S36" s="115"/>
      <c r="T36" s="133"/>
      <c r="U36" s="133">
        <v>243</v>
      </c>
      <c r="V36" s="134">
        <v>191</v>
      </c>
      <c r="W36" s="134">
        <v>238</v>
      </c>
      <c r="X36" s="134">
        <v>205</v>
      </c>
      <c r="Y36" s="135">
        <v>194</v>
      </c>
      <c r="Z36" s="117"/>
      <c r="AA36" s="136">
        <f t="shared" si="0"/>
        <v>1071</v>
      </c>
      <c r="AB36" s="137">
        <v>203</v>
      </c>
      <c r="AC36" s="137">
        <v>197</v>
      </c>
      <c r="AD36" s="137">
        <v>203</v>
      </c>
      <c r="AE36" s="137">
        <v>193</v>
      </c>
      <c r="AF36" s="138">
        <v>208</v>
      </c>
      <c r="AG36" s="137"/>
      <c r="AH36" s="139">
        <f t="shared" si="1"/>
        <v>1004</v>
      </c>
      <c r="AI36" s="140" t="s">
        <v>548</v>
      </c>
      <c r="AJ36" s="141">
        <v>85</v>
      </c>
      <c r="AK36" s="141">
        <v>85</v>
      </c>
      <c r="AL36" s="142">
        <f t="shared" si="2"/>
        <v>170</v>
      </c>
      <c r="AM36" s="51">
        <f t="shared" si="3"/>
        <v>0</v>
      </c>
      <c r="AN36" s="51">
        <f t="shared" si="4"/>
        <v>41310</v>
      </c>
      <c r="AO36" s="51">
        <f t="shared" si="5"/>
        <v>32470</v>
      </c>
      <c r="AP36" s="51">
        <f t="shared" si="6"/>
        <v>40460</v>
      </c>
      <c r="AQ36" s="51">
        <f t="shared" si="7"/>
        <v>34850</v>
      </c>
      <c r="AR36" s="51">
        <f t="shared" si="8"/>
        <v>32980</v>
      </c>
      <c r="AS36" s="51">
        <f t="shared" si="9"/>
        <v>0</v>
      </c>
      <c r="AT36" s="51">
        <f t="shared" si="10"/>
        <v>182070</v>
      </c>
      <c r="AU36" s="54">
        <f t="shared" si="11"/>
        <v>34510</v>
      </c>
      <c r="AV36" s="54">
        <f t="shared" si="12"/>
        <v>33490</v>
      </c>
      <c r="AW36" s="54">
        <f t="shared" si="13"/>
        <v>34510</v>
      </c>
      <c r="AX36" s="54">
        <f t="shared" si="14"/>
        <v>32810</v>
      </c>
      <c r="AY36" s="54">
        <f t="shared" si="15"/>
        <v>35360</v>
      </c>
      <c r="AZ36" s="54">
        <f t="shared" si="16"/>
        <v>0</v>
      </c>
      <c r="BA36" s="54">
        <f t="shared" si="17"/>
        <v>170680</v>
      </c>
      <c r="BB36" s="128"/>
      <c r="BC36" s="129"/>
      <c r="BD36" s="129"/>
    </row>
    <row r="37" spans="1:56" s="130" customFormat="1" ht="18" customHeight="1">
      <c r="A37" s="131">
        <v>24</v>
      </c>
      <c r="B37" s="132" t="s">
        <v>566</v>
      </c>
      <c r="C37" s="109"/>
      <c r="D37" s="110"/>
      <c r="E37" s="111"/>
      <c r="F37" s="112"/>
      <c r="G37" s="112"/>
      <c r="H37" s="112"/>
      <c r="I37" s="112"/>
      <c r="J37" s="112"/>
      <c r="K37" s="112"/>
      <c r="L37" s="113"/>
      <c r="M37" s="114"/>
      <c r="N37" s="114"/>
      <c r="O37" s="114"/>
      <c r="P37" s="114"/>
      <c r="Q37" s="114"/>
      <c r="R37" s="114"/>
      <c r="S37" s="115"/>
      <c r="T37" s="133"/>
      <c r="U37" s="133">
        <v>140</v>
      </c>
      <c r="V37" s="134">
        <v>99</v>
      </c>
      <c r="W37" s="134">
        <v>117</v>
      </c>
      <c r="X37" s="134">
        <v>99</v>
      </c>
      <c r="Y37" s="135">
        <v>96</v>
      </c>
      <c r="Z37" s="117"/>
      <c r="AA37" s="136">
        <f t="shared" si="0"/>
        <v>551</v>
      </c>
      <c r="AB37" s="137">
        <v>78</v>
      </c>
      <c r="AC37" s="137">
        <v>97</v>
      </c>
      <c r="AD37" s="137">
        <v>91</v>
      </c>
      <c r="AE37" s="137">
        <v>89</v>
      </c>
      <c r="AF37" s="138">
        <v>96</v>
      </c>
      <c r="AG37" s="137"/>
      <c r="AH37" s="139">
        <f t="shared" si="1"/>
        <v>451</v>
      </c>
      <c r="AI37" s="140" t="s">
        <v>548</v>
      </c>
      <c r="AJ37" s="141">
        <v>90</v>
      </c>
      <c r="AK37" s="141">
        <v>90</v>
      </c>
      <c r="AL37" s="142">
        <f t="shared" si="2"/>
        <v>180</v>
      </c>
      <c r="AM37" s="51">
        <f t="shared" si="3"/>
        <v>0</v>
      </c>
      <c r="AN37" s="51">
        <f t="shared" si="4"/>
        <v>25200</v>
      </c>
      <c r="AO37" s="51">
        <f t="shared" si="5"/>
        <v>17820</v>
      </c>
      <c r="AP37" s="51">
        <f t="shared" si="6"/>
        <v>21060</v>
      </c>
      <c r="AQ37" s="51">
        <f t="shared" si="7"/>
        <v>17820</v>
      </c>
      <c r="AR37" s="51">
        <f t="shared" si="8"/>
        <v>17280</v>
      </c>
      <c r="AS37" s="51">
        <f t="shared" si="9"/>
        <v>0</v>
      </c>
      <c r="AT37" s="51">
        <f t="shared" si="10"/>
        <v>99180</v>
      </c>
      <c r="AU37" s="54">
        <f t="shared" si="11"/>
        <v>14040</v>
      </c>
      <c r="AV37" s="54">
        <f t="shared" si="12"/>
        <v>17460</v>
      </c>
      <c r="AW37" s="54">
        <f t="shared" si="13"/>
        <v>16380</v>
      </c>
      <c r="AX37" s="54">
        <f t="shared" si="14"/>
        <v>16020</v>
      </c>
      <c r="AY37" s="54">
        <f t="shared" si="15"/>
        <v>17280</v>
      </c>
      <c r="AZ37" s="54">
        <f t="shared" si="16"/>
        <v>0</v>
      </c>
      <c r="BA37" s="54">
        <f t="shared" si="17"/>
        <v>81180</v>
      </c>
      <c r="BB37" s="128"/>
      <c r="BC37" s="129"/>
      <c r="BD37" s="129"/>
    </row>
    <row r="38" spans="1:56" s="130" customFormat="1" ht="18" customHeight="1">
      <c r="A38" s="131">
        <v>25</v>
      </c>
      <c r="B38" s="132" t="s">
        <v>567</v>
      </c>
      <c r="C38" s="109"/>
      <c r="D38" s="110"/>
      <c r="E38" s="111"/>
      <c r="F38" s="112"/>
      <c r="G38" s="112"/>
      <c r="H38" s="112"/>
      <c r="I38" s="112"/>
      <c r="J38" s="112"/>
      <c r="K38" s="112"/>
      <c r="L38" s="113"/>
      <c r="M38" s="114"/>
      <c r="N38" s="114"/>
      <c r="O38" s="114"/>
      <c r="P38" s="114"/>
      <c r="Q38" s="114"/>
      <c r="R38" s="114"/>
      <c r="S38" s="115"/>
      <c r="T38" s="133"/>
      <c r="U38" s="133">
        <v>140</v>
      </c>
      <c r="V38" s="134">
        <v>99</v>
      </c>
      <c r="W38" s="134">
        <v>117</v>
      </c>
      <c r="X38" s="134">
        <v>99</v>
      </c>
      <c r="Y38" s="135">
        <v>96</v>
      </c>
      <c r="Z38" s="117"/>
      <c r="AA38" s="136">
        <f t="shared" si="0"/>
        <v>551</v>
      </c>
      <c r="AB38" s="137">
        <v>78</v>
      </c>
      <c r="AC38" s="137">
        <v>97</v>
      </c>
      <c r="AD38" s="137">
        <v>91</v>
      </c>
      <c r="AE38" s="137">
        <v>89</v>
      </c>
      <c r="AF38" s="138">
        <v>96</v>
      </c>
      <c r="AG38" s="137"/>
      <c r="AH38" s="139">
        <f t="shared" si="1"/>
        <v>451</v>
      </c>
      <c r="AI38" s="140" t="s">
        <v>548</v>
      </c>
      <c r="AJ38" s="141">
        <v>70</v>
      </c>
      <c r="AK38" s="141">
        <v>75</v>
      </c>
      <c r="AL38" s="142">
        <f t="shared" si="2"/>
        <v>145</v>
      </c>
      <c r="AM38" s="51">
        <f t="shared" si="3"/>
        <v>0</v>
      </c>
      <c r="AN38" s="51">
        <f t="shared" si="4"/>
        <v>20300</v>
      </c>
      <c r="AO38" s="51">
        <f t="shared" si="5"/>
        <v>14355</v>
      </c>
      <c r="AP38" s="51">
        <f t="shared" si="6"/>
        <v>16965</v>
      </c>
      <c r="AQ38" s="51">
        <f t="shared" si="7"/>
        <v>14355</v>
      </c>
      <c r="AR38" s="51">
        <f t="shared" si="8"/>
        <v>13920</v>
      </c>
      <c r="AS38" s="51">
        <f t="shared" si="9"/>
        <v>0</v>
      </c>
      <c r="AT38" s="51">
        <f t="shared" si="10"/>
        <v>79895</v>
      </c>
      <c r="AU38" s="54">
        <f t="shared" si="11"/>
        <v>11310</v>
      </c>
      <c r="AV38" s="54">
        <f t="shared" si="12"/>
        <v>14065</v>
      </c>
      <c r="AW38" s="54">
        <f t="shared" si="13"/>
        <v>13195</v>
      </c>
      <c r="AX38" s="54">
        <f t="shared" si="14"/>
        <v>12905</v>
      </c>
      <c r="AY38" s="54">
        <f t="shared" si="15"/>
        <v>13920</v>
      </c>
      <c r="AZ38" s="54">
        <f t="shared" si="16"/>
        <v>0</v>
      </c>
      <c r="BA38" s="54">
        <f t="shared" si="17"/>
        <v>65395</v>
      </c>
      <c r="BB38" s="128"/>
      <c r="BC38" s="129"/>
      <c r="BD38" s="129"/>
    </row>
    <row r="39" spans="1:56" s="130" customFormat="1" ht="18" customHeight="1">
      <c r="A39" s="131">
        <v>26</v>
      </c>
      <c r="B39" s="132" t="s">
        <v>568</v>
      </c>
      <c r="C39" s="109"/>
      <c r="D39" s="110"/>
      <c r="E39" s="111"/>
      <c r="F39" s="112"/>
      <c r="G39" s="112"/>
      <c r="H39" s="112"/>
      <c r="I39" s="112"/>
      <c r="J39" s="112"/>
      <c r="K39" s="112"/>
      <c r="L39" s="113"/>
      <c r="M39" s="114"/>
      <c r="N39" s="114"/>
      <c r="O39" s="114"/>
      <c r="P39" s="114"/>
      <c r="Q39" s="114"/>
      <c r="R39" s="114"/>
      <c r="S39" s="115"/>
      <c r="T39" s="133"/>
      <c r="U39" s="133">
        <v>170</v>
      </c>
      <c r="V39" s="134">
        <v>170</v>
      </c>
      <c r="W39" s="134">
        <v>170</v>
      </c>
      <c r="X39" s="134">
        <v>170</v>
      </c>
      <c r="Y39" s="135">
        <v>170</v>
      </c>
      <c r="Z39" s="117"/>
      <c r="AA39" s="136">
        <f t="shared" si="0"/>
        <v>850</v>
      </c>
      <c r="AB39" s="137">
        <v>170</v>
      </c>
      <c r="AC39" s="137">
        <v>170</v>
      </c>
      <c r="AD39" s="137">
        <v>170</v>
      </c>
      <c r="AE39" s="137">
        <v>170</v>
      </c>
      <c r="AF39" s="138">
        <v>170</v>
      </c>
      <c r="AG39" s="137"/>
      <c r="AH39" s="139">
        <f t="shared" si="1"/>
        <v>850</v>
      </c>
      <c r="AI39" s="140" t="s">
        <v>548</v>
      </c>
      <c r="AJ39" s="141">
        <v>50</v>
      </c>
      <c r="AK39" s="141">
        <v>55</v>
      </c>
      <c r="AL39" s="142">
        <f t="shared" si="2"/>
        <v>105</v>
      </c>
      <c r="AM39" s="51">
        <f t="shared" si="3"/>
        <v>0</v>
      </c>
      <c r="AN39" s="51">
        <f t="shared" si="4"/>
        <v>17850</v>
      </c>
      <c r="AO39" s="51">
        <f t="shared" si="5"/>
        <v>17850</v>
      </c>
      <c r="AP39" s="51">
        <f t="shared" si="6"/>
        <v>17850</v>
      </c>
      <c r="AQ39" s="51">
        <f t="shared" si="7"/>
        <v>17850</v>
      </c>
      <c r="AR39" s="51">
        <f t="shared" si="8"/>
        <v>17850</v>
      </c>
      <c r="AS39" s="51">
        <f t="shared" si="9"/>
        <v>0</v>
      </c>
      <c r="AT39" s="51">
        <f t="shared" si="10"/>
        <v>89250</v>
      </c>
      <c r="AU39" s="54">
        <f t="shared" si="11"/>
        <v>17850</v>
      </c>
      <c r="AV39" s="54">
        <f t="shared" si="12"/>
        <v>17850</v>
      </c>
      <c r="AW39" s="54">
        <f t="shared" si="13"/>
        <v>17850</v>
      </c>
      <c r="AX39" s="54">
        <f t="shared" si="14"/>
        <v>17850</v>
      </c>
      <c r="AY39" s="54">
        <f t="shared" si="15"/>
        <v>17850</v>
      </c>
      <c r="AZ39" s="54">
        <f t="shared" si="16"/>
        <v>0</v>
      </c>
      <c r="BA39" s="54">
        <f t="shared" si="17"/>
        <v>89250</v>
      </c>
      <c r="BB39" s="128"/>
      <c r="BC39" s="129"/>
      <c r="BD39" s="129"/>
    </row>
    <row r="40" spans="1:56" s="130" customFormat="1" ht="18" customHeight="1">
      <c r="A40" s="131">
        <v>27</v>
      </c>
      <c r="B40" s="132" t="s">
        <v>569</v>
      </c>
      <c r="C40" s="109"/>
      <c r="D40" s="110"/>
      <c r="E40" s="111"/>
      <c r="F40" s="112"/>
      <c r="G40" s="112"/>
      <c r="H40" s="112"/>
      <c r="I40" s="112"/>
      <c r="J40" s="112"/>
      <c r="K40" s="112"/>
      <c r="L40" s="113"/>
      <c r="M40" s="114"/>
      <c r="N40" s="114"/>
      <c r="O40" s="114"/>
      <c r="P40" s="114"/>
      <c r="Q40" s="114"/>
      <c r="R40" s="114"/>
      <c r="S40" s="115"/>
      <c r="T40" s="133"/>
      <c r="U40" s="133">
        <v>180</v>
      </c>
      <c r="V40" s="134">
        <v>180</v>
      </c>
      <c r="W40" s="134">
        <v>180</v>
      </c>
      <c r="X40" s="134">
        <v>180</v>
      </c>
      <c r="Y40" s="135">
        <v>180</v>
      </c>
      <c r="Z40" s="117"/>
      <c r="AA40" s="136">
        <f t="shared" si="0"/>
        <v>900</v>
      </c>
      <c r="AB40" s="137">
        <v>180</v>
      </c>
      <c r="AC40" s="137">
        <v>180</v>
      </c>
      <c r="AD40" s="137">
        <v>180</v>
      </c>
      <c r="AE40" s="137">
        <v>180</v>
      </c>
      <c r="AF40" s="138">
        <v>180</v>
      </c>
      <c r="AG40" s="137"/>
      <c r="AH40" s="139">
        <f t="shared" si="1"/>
        <v>900</v>
      </c>
      <c r="AI40" s="140" t="s">
        <v>548</v>
      </c>
      <c r="AJ40" s="141">
        <v>65</v>
      </c>
      <c r="AK40" s="141">
        <v>70</v>
      </c>
      <c r="AL40" s="142">
        <f t="shared" si="2"/>
        <v>135</v>
      </c>
      <c r="AM40" s="51">
        <f t="shared" si="3"/>
        <v>0</v>
      </c>
      <c r="AN40" s="51">
        <f t="shared" si="4"/>
        <v>24300</v>
      </c>
      <c r="AO40" s="51">
        <f t="shared" si="5"/>
        <v>24300</v>
      </c>
      <c r="AP40" s="51">
        <f t="shared" si="6"/>
        <v>24300</v>
      </c>
      <c r="AQ40" s="51">
        <f t="shared" si="7"/>
        <v>24300</v>
      </c>
      <c r="AR40" s="51">
        <f t="shared" si="8"/>
        <v>24300</v>
      </c>
      <c r="AS40" s="51">
        <f t="shared" si="9"/>
        <v>0</v>
      </c>
      <c r="AT40" s="51">
        <f t="shared" si="10"/>
        <v>121500</v>
      </c>
      <c r="AU40" s="54">
        <f t="shared" si="11"/>
        <v>24300</v>
      </c>
      <c r="AV40" s="54">
        <f t="shared" si="12"/>
        <v>24300</v>
      </c>
      <c r="AW40" s="54">
        <f t="shared" si="13"/>
        <v>24300</v>
      </c>
      <c r="AX40" s="54">
        <f t="shared" si="14"/>
        <v>24300</v>
      </c>
      <c r="AY40" s="54">
        <f t="shared" si="15"/>
        <v>24300</v>
      </c>
      <c r="AZ40" s="54">
        <f t="shared" si="16"/>
        <v>0</v>
      </c>
      <c r="BA40" s="54">
        <f t="shared" si="17"/>
        <v>121500</v>
      </c>
      <c r="BB40" s="128"/>
      <c r="BC40" s="129"/>
      <c r="BD40" s="129"/>
    </row>
    <row r="41" spans="1:56" s="130" customFormat="1" ht="23.1">
      <c r="A41" s="131">
        <v>28</v>
      </c>
      <c r="B41" s="143" t="s">
        <v>570</v>
      </c>
      <c r="C41" s="109"/>
      <c r="D41" s="110"/>
      <c r="E41" s="111"/>
      <c r="F41" s="112"/>
      <c r="G41" s="112"/>
      <c r="H41" s="112"/>
      <c r="I41" s="112"/>
      <c r="J41" s="112"/>
      <c r="K41" s="112"/>
      <c r="L41" s="113"/>
      <c r="M41" s="114"/>
      <c r="N41" s="114"/>
      <c r="O41" s="114"/>
      <c r="P41" s="114"/>
      <c r="Q41" s="114"/>
      <c r="R41" s="114"/>
      <c r="S41" s="115"/>
      <c r="T41" s="133"/>
      <c r="U41" s="133"/>
      <c r="V41" s="134"/>
      <c r="W41" s="134"/>
      <c r="X41" s="134"/>
      <c r="Y41" s="135"/>
      <c r="Z41" s="117"/>
      <c r="AA41" s="136">
        <f t="shared" si="0"/>
        <v>0</v>
      </c>
      <c r="AB41" s="137"/>
      <c r="AC41" s="137"/>
      <c r="AD41" s="137"/>
      <c r="AE41" s="137"/>
      <c r="AF41" s="138"/>
      <c r="AG41" s="137"/>
      <c r="AH41" s="139">
        <f t="shared" si="1"/>
        <v>0</v>
      </c>
      <c r="AI41" s="123"/>
      <c r="AJ41" s="141"/>
      <c r="AK41" s="141"/>
      <c r="AL41" s="142">
        <f t="shared" si="2"/>
        <v>0</v>
      </c>
      <c r="AM41" s="51">
        <f t="shared" si="3"/>
        <v>0</v>
      </c>
      <c r="AN41" s="51">
        <f t="shared" si="4"/>
        <v>0</v>
      </c>
      <c r="AO41" s="51">
        <f t="shared" si="5"/>
        <v>0</v>
      </c>
      <c r="AP41" s="51">
        <f t="shared" si="6"/>
        <v>0</v>
      </c>
      <c r="AQ41" s="51">
        <f t="shared" si="7"/>
        <v>0</v>
      </c>
      <c r="AR41" s="51">
        <f t="shared" si="8"/>
        <v>0</v>
      </c>
      <c r="AS41" s="51">
        <f t="shared" si="9"/>
        <v>0</v>
      </c>
      <c r="AT41" s="51">
        <f t="shared" si="10"/>
        <v>0</v>
      </c>
      <c r="AU41" s="54">
        <f t="shared" si="11"/>
        <v>0</v>
      </c>
      <c r="AV41" s="54">
        <f t="shared" si="12"/>
        <v>0</v>
      </c>
      <c r="AW41" s="54">
        <f t="shared" si="13"/>
        <v>0</v>
      </c>
      <c r="AX41" s="54">
        <f t="shared" si="14"/>
        <v>0</v>
      </c>
      <c r="AY41" s="54">
        <f t="shared" si="15"/>
        <v>0</v>
      </c>
      <c r="AZ41" s="54">
        <f t="shared" si="16"/>
        <v>0</v>
      </c>
      <c r="BA41" s="54">
        <f t="shared" si="17"/>
        <v>0</v>
      </c>
      <c r="BB41" s="128"/>
      <c r="BC41" s="129"/>
      <c r="BD41" s="129"/>
    </row>
    <row r="42" spans="1:56" s="130" customFormat="1" ht="18" customHeight="1">
      <c r="A42" s="131">
        <v>29</v>
      </c>
      <c r="B42" s="132" t="s">
        <v>571</v>
      </c>
      <c r="C42" s="109"/>
      <c r="D42" s="110"/>
      <c r="E42" s="111"/>
      <c r="F42" s="112"/>
      <c r="G42" s="112"/>
      <c r="H42" s="112"/>
      <c r="I42" s="112"/>
      <c r="J42" s="112"/>
      <c r="K42" s="112"/>
      <c r="L42" s="113"/>
      <c r="M42" s="114"/>
      <c r="N42" s="114"/>
      <c r="O42" s="114"/>
      <c r="P42" s="114"/>
      <c r="Q42" s="114"/>
      <c r="R42" s="114"/>
      <c r="S42" s="115"/>
      <c r="T42" s="133"/>
      <c r="U42" s="133">
        <v>1</v>
      </c>
      <c r="V42" s="134">
        <v>1</v>
      </c>
      <c r="W42" s="134">
        <v>1</v>
      </c>
      <c r="X42" s="134">
        <v>1</v>
      </c>
      <c r="Y42" s="135">
        <v>1</v>
      </c>
      <c r="Z42" s="117"/>
      <c r="AA42" s="136">
        <f t="shared" si="0"/>
        <v>5</v>
      </c>
      <c r="AB42" s="137">
        <v>1</v>
      </c>
      <c r="AC42" s="137">
        <v>1</v>
      </c>
      <c r="AD42" s="137">
        <v>1</v>
      </c>
      <c r="AE42" s="137">
        <v>1</v>
      </c>
      <c r="AF42" s="138">
        <v>1</v>
      </c>
      <c r="AG42" s="137"/>
      <c r="AH42" s="139">
        <f t="shared" si="1"/>
        <v>5</v>
      </c>
      <c r="AI42" s="144" t="s">
        <v>572</v>
      </c>
      <c r="AJ42" s="141"/>
      <c r="AK42" s="141">
        <v>7850</v>
      </c>
      <c r="AL42" s="142">
        <f t="shared" si="2"/>
        <v>7850</v>
      </c>
      <c r="AM42" s="51">
        <f t="shared" si="3"/>
        <v>0</v>
      </c>
      <c r="AN42" s="51">
        <f t="shared" si="4"/>
        <v>7850</v>
      </c>
      <c r="AO42" s="51">
        <f t="shared" si="5"/>
        <v>7850</v>
      </c>
      <c r="AP42" s="51">
        <f t="shared" si="6"/>
        <v>7850</v>
      </c>
      <c r="AQ42" s="51">
        <f t="shared" si="7"/>
        <v>7850</v>
      </c>
      <c r="AR42" s="51">
        <f t="shared" si="8"/>
        <v>7850</v>
      </c>
      <c r="AS42" s="51">
        <f t="shared" si="9"/>
        <v>0</v>
      </c>
      <c r="AT42" s="51">
        <f t="shared" si="10"/>
        <v>39250</v>
      </c>
      <c r="AU42" s="54">
        <f t="shared" si="11"/>
        <v>7850</v>
      </c>
      <c r="AV42" s="54">
        <f t="shared" si="12"/>
        <v>7850</v>
      </c>
      <c r="AW42" s="54">
        <f t="shared" si="13"/>
        <v>7850</v>
      </c>
      <c r="AX42" s="54">
        <f t="shared" si="14"/>
        <v>7850</v>
      </c>
      <c r="AY42" s="54">
        <f t="shared" si="15"/>
        <v>7850</v>
      </c>
      <c r="AZ42" s="54">
        <f t="shared" si="16"/>
        <v>0</v>
      </c>
      <c r="BA42" s="54">
        <f t="shared" si="17"/>
        <v>39250</v>
      </c>
      <c r="BB42" s="128"/>
      <c r="BC42" s="129"/>
      <c r="BD42" s="129"/>
    </row>
    <row r="43" spans="1:56" s="130" customFormat="1" ht="18" customHeight="1">
      <c r="A43" s="131">
        <v>30</v>
      </c>
      <c r="B43" s="132" t="s">
        <v>573</v>
      </c>
      <c r="C43" s="109"/>
      <c r="D43" s="110"/>
      <c r="E43" s="111"/>
      <c r="F43" s="112"/>
      <c r="G43" s="112"/>
      <c r="H43" s="112"/>
      <c r="I43" s="112"/>
      <c r="J43" s="112"/>
      <c r="K43" s="112"/>
      <c r="L43" s="113"/>
      <c r="M43" s="114"/>
      <c r="N43" s="114"/>
      <c r="O43" s="114"/>
      <c r="P43" s="114"/>
      <c r="Q43" s="114"/>
      <c r="R43" s="114"/>
      <c r="S43" s="115"/>
      <c r="T43" s="133"/>
      <c r="U43" s="133">
        <v>5</v>
      </c>
      <c r="V43" s="134">
        <v>5</v>
      </c>
      <c r="W43" s="134">
        <v>5</v>
      </c>
      <c r="X43" s="134">
        <v>5</v>
      </c>
      <c r="Y43" s="135">
        <v>5</v>
      </c>
      <c r="Z43" s="117"/>
      <c r="AA43" s="136">
        <f t="shared" si="0"/>
        <v>25</v>
      </c>
      <c r="AB43" s="137">
        <v>5</v>
      </c>
      <c r="AC43" s="137">
        <v>5</v>
      </c>
      <c r="AD43" s="137">
        <v>5</v>
      </c>
      <c r="AE43" s="137">
        <v>5</v>
      </c>
      <c r="AF43" s="138">
        <v>5</v>
      </c>
      <c r="AG43" s="137"/>
      <c r="AH43" s="139">
        <f t="shared" si="1"/>
        <v>25</v>
      </c>
      <c r="AI43" s="144" t="s">
        <v>572</v>
      </c>
      <c r="AJ43" s="141"/>
      <c r="AK43" s="141">
        <v>4120</v>
      </c>
      <c r="AL43" s="142">
        <f t="shared" si="2"/>
        <v>4120</v>
      </c>
      <c r="AM43" s="51">
        <f t="shared" si="3"/>
        <v>0</v>
      </c>
      <c r="AN43" s="51">
        <f t="shared" si="4"/>
        <v>20600</v>
      </c>
      <c r="AO43" s="51">
        <f t="shared" si="5"/>
        <v>20600</v>
      </c>
      <c r="AP43" s="51">
        <f t="shared" si="6"/>
        <v>20600</v>
      </c>
      <c r="AQ43" s="51">
        <f t="shared" si="7"/>
        <v>20600</v>
      </c>
      <c r="AR43" s="51">
        <f t="shared" si="8"/>
        <v>20600</v>
      </c>
      <c r="AS43" s="51">
        <f t="shared" si="9"/>
        <v>0</v>
      </c>
      <c r="AT43" s="51">
        <f t="shared" si="10"/>
        <v>103000</v>
      </c>
      <c r="AU43" s="54">
        <f t="shared" si="11"/>
        <v>20600</v>
      </c>
      <c r="AV43" s="54">
        <f t="shared" si="12"/>
        <v>20600</v>
      </c>
      <c r="AW43" s="54">
        <f t="shared" si="13"/>
        <v>20600</v>
      </c>
      <c r="AX43" s="54">
        <f t="shared" si="14"/>
        <v>20600</v>
      </c>
      <c r="AY43" s="54">
        <f t="shared" si="15"/>
        <v>20600</v>
      </c>
      <c r="AZ43" s="54">
        <f t="shared" si="16"/>
        <v>0</v>
      </c>
      <c r="BA43" s="54">
        <f t="shared" si="17"/>
        <v>103000</v>
      </c>
      <c r="BB43" s="128"/>
      <c r="BC43" s="129"/>
      <c r="BD43" s="129"/>
    </row>
    <row r="44" spans="1:56" s="130" customFormat="1" ht="18" customHeight="1">
      <c r="A44" s="131">
        <v>31</v>
      </c>
      <c r="B44" s="132" t="s">
        <v>574</v>
      </c>
      <c r="C44" s="109"/>
      <c r="D44" s="110"/>
      <c r="E44" s="111"/>
      <c r="F44" s="112"/>
      <c r="G44" s="112"/>
      <c r="H44" s="112"/>
      <c r="I44" s="112"/>
      <c r="J44" s="112"/>
      <c r="K44" s="112"/>
      <c r="L44" s="113"/>
      <c r="M44" s="114"/>
      <c r="N44" s="114"/>
      <c r="O44" s="114"/>
      <c r="P44" s="114"/>
      <c r="Q44" s="114"/>
      <c r="R44" s="114"/>
      <c r="S44" s="115"/>
      <c r="T44" s="133"/>
      <c r="U44" s="133">
        <v>4</v>
      </c>
      <c r="V44" s="134">
        <v>4</v>
      </c>
      <c r="W44" s="134">
        <v>4</v>
      </c>
      <c r="X44" s="134">
        <v>4</v>
      </c>
      <c r="Y44" s="135">
        <v>4</v>
      </c>
      <c r="Z44" s="117"/>
      <c r="AA44" s="136">
        <f t="shared" si="0"/>
        <v>20</v>
      </c>
      <c r="AB44" s="137">
        <v>4</v>
      </c>
      <c r="AC44" s="137">
        <v>4</v>
      </c>
      <c r="AD44" s="137">
        <v>4</v>
      </c>
      <c r="AE44" s="137">
        <v>4</v>
      </c>
      <c r="AF44" s="138">
        <v>4</v>
      </c>
      <c r="AG44" s="137"/>
      <c r="AH44" s="139">
        <f t="shared" si="1"/>
        <v>20</v>
      </c>
      <c r="AI44" s="144" t="s">
        <v>572</v>
      </c>
      <c r="AJ44" s="141"/>
      <c r="AK44" s="141">
        <v>5300</v>
      </c>
      <c r="AL44" s="142">
        <f t="shared" si="2"/>
        <v>5300</v>
      </c>
      <c r="AM44" s="51">
        <f t="shared" si="3"/>
        <v>0</v>
      </c>
      <c r="AN44" s="51">
        <f t="shared" si="4"/>
        <v>21200</v>
      </c>
      <c r="AO44" s="51">
        <f t="shared" si="5"/>
        <v>21200</v>
      </c>
      <c r="AP44" s="51">
        <f t="shared" si="6"/>
        <v>21200</v>
      </c>
      <c r="AQ44" s="51">
        <f t="shared" si="7"/>
        <v>21200</v>
      </c>
      <c r="AR44" s="51">
        <f t="shared" si="8"/>
        <v>21200</v>
      </c>
      <c r="AS44" s="51">
        <f t="shared" si="9"/>
        <v>0</v>
      </c>
      <c r="AT44" s="51">
        <f t="shared" si="10"/>
        <v>106000</v>
      </c>
      <c r="AU44" s="54">
        <f t="shared" si="11"/>
        <v>21200</v>
      </c>
      <c r="AV44" s="54">
        <f t="shared" si="12"/>
        <v>21200</v>
      </c>
      <c r="AW44" s="54">
        <f t="shared" si="13"/>
        <v>21200</v>
      </c>
      <c r="AX44" s="54">
        <f t="shared" si="14"/>
        <v>21200</v>
      </c>
      <c r="AY44" s="54">
        <f t="shared" si="15"/>
        <v>21200</v>
      </c>
      <c r="AZ44" s="54">
        <f t="shared" si="16"/>
        <v>0</v>
      </c>
      <c r="BA44" s="54">
        <f t="shared" si="17"/>
        <v>106000</v>
      </c>
      <c r="BB44" s="128"/>
      <c r="BC44" s="129"/>
      <c r="BD44" s="129"/>
    </row>
    <row r="45" spans="1:56" s="130" customFormat="1" ht="18" customHeight="1">
      <c r="A45" s="131">
        <v>32</v>
      </c>
      <c r="B45" s="132" t="s">
        <v>575</v>
      </c>
      <c r="C45" s="109"/>
      <c r="D45" s="110"/>
      <c r="E45" s="111"/>
      <c r="F45" s="112"/>
      <c r="G45" s="112"/>
      <c r="H45" s="112"/>
      <c r="I45" s="112"/>
      <c r="J45" s="112"/>
      <c r="K45" s="112"/>
      <c r="L45" s="113"/>
      <c r="M45" s="114"/>
      <c r="N45" s="114"/>
      <c r="O45" s="114"/>
      <c r="P45" s="114"/>
      <c r="Q45" s="114"/>
      <c r="R45" s="114"/>
      <c r="S45" s="115"/>
      <c r="T45" s="133"/>
      <c r="U45" s="133">
        <v>6</v>
      </c>
      <c r="V45" s="134">
        <v>6</v>
      </c>
      <c r="W45" s="134">
        <v>6</v>
      </c>
      <c r="X45" s="134">
        <v>6</v>
      </c>
      <c r="Y45" s="135">
        <v>6</v>
      </c>
      <c r="Z45" s="117"/>
      <c r="AA45" s="136">
        <f t="shared" si="0"/>
        <v>30</v>
      </c>
      <c r="AB45" s="137">
        <v>6</v>
      </c>
      <c r="AC45" s="137">
        <v>6</v>
      </c>
      <c r="AD45" s="137">
        <v>6</v>
      </c>
      <c r="AE45" s="137">
        <v>6</v>
      </c>
      <c r="AF45" s="138">
        <v>6</v>
      </c>
      <c r="AG45" s="137"/>
      <c r="AH45" s="139">
        <f t="shared" si="1"/>
        <v>30</v>
      </c>
      <c r="AI45" s="144" t="s">
        <v>572</v>
      </c>
      <c r="AJ45" s="141"/>
      <c r="AK45" s="141">
        <v>9900</v>
      </c>
      <c r="AL45" s="142">
        <f t="shared" si="2"/>
        <v>9900</v>
      </c>
      <c r="AM45" s="51">
        <f t="shared" si="3"/>
        <v>0</v>
      </c>
      <c r="AN45" s="51">
        <f t="shared" si="4"/>
        <v>59400</v>
      </c>
      <c r="AO45" s="51">
        <f t="shared" si="5"/>
        <v>59400</v>
      </c>
      <c r="AP45" s="51">
        <f t="shared" si="6"/>
        <v>59400</v>
      </c>
      <c r="AQ45" s="51">
        <f t="shared" si="7"/>
        <v>59400</v>
      </c>
      <c r="AR45" s="51">
        <f t="shared" si="8"/>
        <v>59400</v>
      </c>
      <c r="AS45" s="51">
        <f t="shared" si="9"/>
        <v>0</v>
      </c>
      <c r="AT45" s="51">
        <f t="shared" si="10"/>
        <v>297000</v>
      </c>
      <c r="AU45" s="54">
        <f t="shared" si="11"/>
        <v>59400</v>
      </c>
      <c r="AV45" s="54">
        <f t="shared" si="12"/>
        <v>59400</v>
      </c>
      <c r="AW45" s="54">
        <f t="shared" si="13"/>
        <v>59400</v>
      </c>
      <c r="AX45" s="54">
        <f t="shared" si="14"/>
        <v>59400</v>
      </c>
      <c r="AY45" s="54">
        <f t="shared" si="15"/>
        <v>59400</v>
      </c>
      <c r="AZ45" s="54">
        <f t="shared" si="16"/>
        <v>0</v>
      </c>
      <c r="BA45" s="54">
        <f t="shared" si="17"/>
        <v>297000</v>
      </c>
      <c r="BB45" s="128"/>
      <c r="BC45" s="129"/>
      <c r="BD45" s="129"/>
    </row>
    <row r="46" spans="1:56" s="130" customFormat="1" ht="18" customHeight="1">
      <c r="A46" s="131">
        <v>33</v>
      </c>
      <c r="B46" s="132" t="s">
        <v>576</v>
      </c>
      <c r="C46" s="109"/>
      <c r="D46" s="110"/>
      <c r="E46" s="111"/>
      <c r="F46" s="112"/>
      <c r="G46" s="112"/>
      <c r="H46" s="112"/>
      <c r="I46" s="112"/>
      <c r="J46" s="112"/>
      <c r="K46" s="112"/>
      <c r="L46" s="113"/>
      <c r="M46" s="114"/>
      <c r="N46" s="114"/>
      <c r="O46" s="114"/>
      <c r="P46" s="114"/>
      <c r="Q46" s="114"/>
      <c r="R46" s="114"/>
      <c r="S46" s="115"/>
      <c r="T46" s="133"/>
      <c r="U46" s="133">
        <v>1</v>
      </c>
      <c r="V46" s="134">
        <v>1</v>
      </c>
      <c r="W46" s="134">
        <v>1</v>
      </c>
      <c r="X46" s="134">
        <v>1</v>
      </c>
      <c r="Y46" s="135">
        <v>1</v>
      </c>
      <c r="Z46" s="117"/>
      <c r="AA46" s="136">
        <f t="shared" si="0"/>
        <v>5</v>
      </c>
      <c r="AB46" s="137">
        <v>1</v>
      </c>
      <c r="AC46" s="137">
        <v>1</v>
      </c>
      <c r="AD46" s="137">
        <v>1</v>
      </c>
      <c r="AE46" s="137">
        <v>1</v>
      </c>
      <c r="AF46" s="138">
        <v>1</v>
      </c>
      <c r="AG46" s="137"/>
      <c r="AH46" s="139">
        <f t="shared" si="1"/>
        <v>5</v>
      </c>
      <c r="AI46" s="144" t="s">
        <v>572</v>
      </c>
      <c r="AJ46" s="141"/>
      <c r="AK46" s="141">
        <v>3510</v>
      </c>
      <c r="AL46" s="142">
        <f t="shared" si="2"/>
        <v>3510</v>
      </c>
      <c r="AM46" s="51">
        <f t="shared" si="3"/>
        <v>0</v>
      </c>
      <c r="AN46" s="51">
        <f t="shared" si="4"/>
        <v>3510</v>
      </c>
      <c r="AO46" s="51">
        <f t="shared" si="5"/>
        <v>3510</v>
      </c>
      <c r="AP46" s="51">
        <f t="shared" si="6"/>
        <v>3510</v>
      </c>
      <c r="AQ46" s="51">
        <f t="shared" si="7"/>
        <v>3510</v>
      </c>
      <c r="AR46" s="51">
        <f t="shared" si="8"/>
        <v>3510</v>
      </c>
      <c r="AS46" s="51">
        <f t="shared" si="9"/>
        <v>0</v>
      </c>
      <c r="AT46" s="51">
        <f t="shared" si="10"/>
        <v>17550</v>
      </c>
      <c r="AU46" s="54">
        <f t="shared" si="11"/>
        <v>3510</v>
      </c>
      <c r="AV46" s="54">
        <f t="shared" si="12"/>
        <v>3510</v>
      </c>
      <c r="AW46" s="54">
        <f t="shared" si="13"/>
        <v>3510</v>
      </c>
      <c r="AX46" s="54">
        <f t="shared" si="14"/>
        <v>3510</v>
      </c>
      <c r="AY46" s="54">
        <f t="shared" si="15"/>
        <v>3510</v>
      </c>
      <c r="AZ46" s="54">
        <f t="shared" si="16"/>
        <v>0</v>
      </c>
      <c r="BA46" s="54">
        <f t="shared" si="17"/>
        <v>17550</v>
      </c>
      <c r="BB46" s="128"/>
      <c r="BC46" s="129"/>
      <c r="BD46" s="129"/>
    </row>
    <row r="47" spans="1:56" s="130" customFormat="1" ht="18" customHeight="1">
      <c r="A47" s="131">
        <v>34</v>
      </c>
      <c r="B47" s="132" t="s">
        <v>577</v>
      </c>
      <c r="C47" s="109"/>
      <c r="D47" s="110"/>
      <c r="E47" s="111"/>
      <c r="F47" s="112"/>
      <c r="G47" s="112"/>
      <c r="H47" s="112"/>
      <c r="I47" s="112"/>
      <c r="J47" s="112"/>
      <c r="K47" s="112"/>
      <c r="L47" s="113"/>
      <c r="M47" s="114"/>
      <c r="N47" s="114"/>
      <c r="O47" s="114"/>
      <c r="P47" s="114"/>
      <c r="Q47" s="114"/>
      <c r="R47" s="114"/>
      <c r="S47" s="115"/>
      <c r="T47" s="133"/>
      <c r="U47" s="133">
        <v>160</v>
      </c>
      <c r="V47" s="134">
        <v>158</v>
      </c>
      <c r="W47" s="134">
        <v>157</v>
      </c>
      <c r="X47" s="134">
        <v>155</v>
      </c>
      <c r="Y47" s="135">
        <v>142</v>
      </c>
      <c r="Z47" s="117"/>
      <c r="AA47" s="136">
        <f t="shared" si="0"/>
        <v>772</v>
      </c>
      <c r="AB47" s="137">
        <v>158</v>
      </c>
      <c r="AC47" s="137">
        <v>156</v>
      </c>
      <c r="AD47" s="137">
        <v>162</v>
      </c>
      <c r="AE47" s="137">
        <v>159</v>
      </c>
      <c r="AF47" s="138">
        <v>143</v>
      </c>
      <c r="AG47" s="137"/>
      <c r="AH47" s="139">
        <f t="shared" si="1"/>
        <v>778</v>
      </c>
      <c r="AI47" s="144" t="s">
        <v>572</v>
      </c>
      <c r="AJ47" s="141"/>
      <c r="AK47" s="141">
        <v>1350</v>
      </c>
      <c r="AL47" s="142">
        <f t="shared" si="2"/>
        <v>1350</v>
      </c>
      <c r="AM47" s="51">
        <f t="shared" si="3"/>
        <v>0</v>
      </c>
      <c r="AN47" s="51">
        <f t="shared" si="4"/>
        <v>216000</v>
      </c>
      <c r="AO47" s="51">
        <f t="shared" si="5"/>
        <v>213300</v>
      </c>
      <c r="AP47" s="51">
        <f t="shared" si="6"/>
        <v>211950</v>
      </c>
      <c r="AQ47" s="51">
        <f t="shared" si="7"/>
        <v>209250</v>
      </c>
      <c r="AR47" s="51">
        <f t="shared" si="8"/>
        <v>191700</v>
      </c>
      <c r="AS47" s="51">
        <f t="shared" si="9"/>
        <v>0</v>
      </c>
      <c r="AT47" s="51">
        <f t="shared" si="10"/>
        <v>1042200</v>
      </c>
      <c r="AU47" s="54">
        <f t="shared" si="11"/>
        <v>213300</v>
      </c>
      <c r="AV47" s="54">
        <f t="shared" si="12"/>
        <v>210600</v>
      </c>
      <c r="AW47" s="54">
        <f t="shared" si="13"/>
        <v>218700</v>
      </c>
      <c r="AX47" s="54">
        <f t="shared" si="14"/>
        <v>214650</v>
      </c>
      <c r="AY47" s="54">
        <f t="shared" si="15"/>
        <v>193050</v>
      </c>
      <c r="AZ47" s="54">
        <f t="shared" si="16"/>
        <v>0</v>
      </c>
      <c r="BA47" s="54">
        <f t="shared" si="17"/>
        <v>1050300</v>
      </c>
      <c r="BB47" s="128"/>
      <c r="BC47" s="129"/>
      <c r="BD47" s="129"/>
    </row>
    <row r="48" spans="1:56" s="130" customFormat="1" ht="18" customHeight="1">
      <c r="A48" s="131">
        <v>35</v>
      </c>
      <c r="B48" s="132" t="s">
        <v>578</v>
      </c>
      <c r="C48" s="109"/>
      <c r="D48" s="110"/>
      <c r="E48" s="111"/>
      <c r="F48" s="112"/>
      <c r="G48" s="112"/>
      <c r="H48" s="112"/>
      <c r="I48" s="112"/>
      <c r="J48" s="112"/>
      <c r="K48" s="112"/>
      <c r="L48" s="113"/>
      <c r="M48" s="114"/>
      <c r="N48" s="114"/>
      <c r="O48" s="114"/>
      <c r="P48" s="114"/>
      <c r="Q48" s="114"/>
      <c r="R48" s="114"/>
      <c r="S48" s="115"/>
      <c r="T48" s="133"/>
      <c r="U48" s="133">
        <v>37</v>
      </c>
      <c r="V48" s="134">
        <v>40</v>
      </c>
      <c r="W48" s="134">
        <v>45</v>
      </c>
      <c r="X48" s="134">
        <v>41</v>
      </c>
      <c r="Y48" s="135">
        <v>43</v>
      </c>
      <c r="Z48" s="117"/>
      <c r="AA48" s="136">
        <f t="shared" si="0"/>
        <v>206</v>
      </c>
      <c r="AB48" s="137">
        <v>48</v>
      </c>
      <c r="AC48" s="137">
        <v>56</v>
      </c>
      <c r="AD48" s="137">
        <v>59</v>
      </c>
      <c r="AE48" s="137">
        <v>59</v>
      </c>
      <c r="AF48" s="138">
        <v>42</v>
      </c>
      <c r="AG48" s="137"/>
      <c r="AH48" s="139">
        <f t="shared" si="1"/>
        <v>264</v>
      </c>
      <c r="AI48" s="144" t="s">
        <v>572</v>
      </c>
      <c r="AJ48" s="141"/>
      <c r="AK48" s="141">
        <v>1250</v>
      </c>
      <c r="AL48" s="142">
        <f t="shared" si="2"/>
        <v>1250</v>
      </c>
      <c r="AM48" s="51">
        <f t="shared" si="3"/>
        <v>0</v>
      </c>
      <c r="AN48" s="51">
        <f t="shared" si="4"/>
        <v>46250</v>
      </c>
      <c r="AO48" s="51">
        <f t="shared" si="5"/>
        <v>50000</v>
      </c>
      <c r="AP48" s="51">
        <f t="shared" si="6"/>
        <v>56250</v>
      </c>
      <c r="AQ48" s="51">
        <f t="shared" si="7"/>
        <v>51250</v>
      </c>
      <c r="AR48" s="51">
        <f t="shared" si="8"/>
        <v>53750</v>
      </c>
      <c r="AS48" s="51">
        <f t="shared" si="9"/>
        <v>0</v>
      </c>
      <c r="AT48" s="51">
        <f t="shared" si="10"/>
        <v>257500</v>
      </c>
      <c r="AU48" s="54">
        <f t="shared" si="11"/>
        <v>60000</v>
      </c>
      <c r="AV48" s="54">
        <f t="shared" si="12"/>
        <v>70000</v>
      </c>
      <c r="AW48" s="54">
        <f t="shared" si="13"/>
        <v>73750</v>
      </c>
      <c r="AX48" s="54">
        <f t="shared" si="14"/>
        <v>73750</v>
      </c>
      <c r="AY48" s="54">
        <f t="shared" si="15"/>
        <v>52500</v>
      </c>
      <c r="AZ48" s="54">
        <f t="shared" si="16"/>
        <v>0</v>
      </c>
      <c r="BA48" s="54">
        <f t="shared" si="17"/>
        <v>330000</v>
      </c>
      <c r="BB48" s="128"/>
      <c r="BC48" s="129"/>
      <c r="BD48" s="129"/>
    </row>
    <row r="49" spans="1:56" s="130" customFormat="1" ht="18" customHeight="1">
      <c r="A49" s="131">
        <v>36</v>
      </c>
      <c r="B49" s="132" t="s">
        <v>579</v>
      </c>
      <c r="C49" s="109"/>
      <c r="D49" s="110"/>
      <c r="E49" s="111"/>
      <c r="F49" s="112"/>
      <c r="G49" s="112"/>
      <c r="H49" s="112"/>
      <c r="I49" s="112"/>
      <c r="J49" s="112"/>
      <c r="K49" s="112"/>
      <c r="L49" s="113"/>
      <c r="M49" s="114"/>
      <c r="N49" s="114"/>
      <c r="O49" s="114"/>
      <c r="P49" s="114"/>
      <c r="Q49" s="114"/>
      <c r="R49" s="114"/>
      <c r="S49" s="115"/>
      <c r="T49" s="133"/>
      <c r="U49" s="133">
        <v>1</v>
      </c>
      <c r="V49" s="134"/>
      <c r="W49" s="134"/>
      <c r="X49" s="134"/>
      <c r="Y49" s="135"/>
      <c r="Z49" s="117"/>
      <c r="AA49" s="136">
        <f t="shared" si="0"/>
        <v>1</v>
      </c>
      <c r="AB49" s="137"/>
      <c r="AC49" s="137"/>
      <c r="AD49" s="137"/>
      <c r="AE49" s="137"/>
      <c r="AF49" s="138"/>
      <c r="AG49" s="137"/>
      <c r="AH49" s="139">
        <f t="shared" si="1"/>
        <v>0</v>
      </c>
      <c r="AI49" s="144" t="s">
        <v>572</v>
      </c>
      <c r="AJ49" s="141"/>
      <c r="AK49" s="141">
        <v>15400</v>
      </c>
      <c r="AL49" s="142">
        <f t="shared" si="2"/>
        <v>15400</v>
      </c>
      <c r="AM49" s="51">
        <f t="shared" si="3"/>
        <v>0</v>
      </c>
      <c r="AN49" s="51">
        <f t="shared" si="4"/>
        <v>15400</v>
      </c>
      <c r="AO49" s="51">
        <f t="shared" si="5"/>
        <v>0</v>
      </c>
      <c r="AP49" s="51">
        <f t="shared" si="6"/>
        <v>0</v>
      </c>
      <c r="AQ49" s="51">
        <f t="shared" si="7"/>
        <v>0</v>
      </c>
      <c r="AR49" s="51">
        <f t="shared" si="8"/>
        <v>0</v>
      </c>
      <c r="AS49" s="51">
        <f t="shared" si="9"/>
        <v>0</v>
      </c>
      <c r="AT49" s="51">
        <f t="shared" si="10"/>
        <v>15400</v>
      </c>
      <c r="AU49" s="54">
        <f t="shared" si="11"/>
        <v>0</v>
      </c>
      <c r="AV49" s="54">
        <f t="shared" si="12"/>
        <v>0</v>
      </c>
      <c r="AW49" s="54">
        <f t="shared" si="13"/>
        <v>0</v>
      </c>
      <c r="AX49" s="54">
        <f t="shared" si="14"/>
        <v>0</v>
      </c>
      <c r="AY49" s="54">
        <f t="shared" si="15"/>
        <v>0</v>
      </c>
      <c r="AZ49" s="54">
        <f t="shared" si="16"/>
        <v>0</v>
      </c>
      <c r="BA49" s="54">
        <f t="shared" si="17"/>
        <v>0</v>
      </c>
      <c r="BB49" s="128"/>
      <c r="BC49" s="129"/>
      <c r="BD49" s="129"/>
    </row>
    <row r="50" spans="1:56" s="130" customFormat="1" ht="18" customHeight="1">
      <c r="A50" s="131">
        <v>37</v>
      </c>
      <c r="B50" s="132" t="s">
        <v>580</v>
      </c>
      <c r="C50" s="109"/>
      <c r="D50" s="110"/>
      <c r="E50" s="111"/>
      <c r="F50" s="112"/>
      <c r="G50" s="112"/>
      <c r="H50" s="112"/>
      <c r="I50" s="112"/>
      <c r="J50" s="112"/>
      <c r="K50" s="112"/>
      <c r="L50" s="113"/>
      <c r="M50" s="114"/>
      <c r="N50" s="114"/>
      <c r="O50" s="114"/>
      <c r="P50" s="114"/>
      <c r="Q50" s="114"/>
      <c r="R50" s="114"/>
      <c r="S50" s="115"/>
      <c r="T50" s="133"/>
      <c r="U50" s="133">
        <v>1</v>
      </c>
      <c r="V50" s="134"/>
      <c r="W50" s="134"/>
      <c r="X50" s="134"/>
      <c r="Y50" s="135"/>
      <c r="Z50" s="117"/>
      <c r="AA50" s="136">
        <f t="shared" si="0"/>
        <v>1</v>
      </c>
      <c r="AB50" s="137">
        <v>1</v>
      </c>
      <c r="AC50" s="137"/>
      <c r="AD50" s="137"/>
      <c r="AE50" s="137"/>
      <c r="AF50" s="138"/>
      <c r="AG50" s="137"/>
      <c r="AH50" s="139">
        <f t="shared" si="1"/>
        <v>1</v>
      </c>
      <c r="AI50" s="144" t="s">
        <v>572</v>
      </c>
      <c r="AJ50" s="141"/>
      <c r="AK50" s="141">
        <v>1890</v>
      </c>
      <c r="AL50" s="142">
        <f t="shared" si="2"/>
        <v>1890</v>
      </c>
      <c r="AM50" s="51">
        <f t="shared" si="3"/>
        <v>0</v>
      </c>
      <c r="AN50" s="51">
        <f t="shared" si="4"/>
        <v>1890</v>
      </c>
      <c r="AO50" s="51">
        <f t="shared" si="5"/>
        <v>0</v>
      </c>
      <c r="AP50" s="51">
        <f t="shared" si="6"/>
        <v>0</v>
      </c>
      <c r="AQ50" s="51">
        <f t="shared" si="7"/>
        <v>0</v>
      </c>
      <c r="AR50" s="51">
        <f t="shared" si="8"/>
        <v>0</v>
      </c>
      <c r="AS50" s="51">
        <f t="shared" si="9"/>
        <v>0</v>
      </c>
      <c r="AT50" s="51">
        <f t="shared" si="10"/>
        <v>1890</v>
      </c>
      <c r="AU50" s="54">
        <f t="shared" si="11"/>
        <v>1890</v>
      </c>
      <c r="AV50" s="54">
        <f t="shared" si="12"/>
        <v>0</v>
      </c>
      <c r="AW50" s="54">
        <f t="shared" si="13"/>
        <v>0</v>
      </c>
      <c r="AX50" s="54">
        <f t="shared" si="14"/>
        <v>0</v>
      </c>
      <c r="AY50" s="54">
        <f t="shared" si="15"/>
        <v>0</v>
      </c>
      <c r="AZ50" s="54">
        <f t="shared" si="16"/>
        <v>0</v>
      </c>
      <c r="BA50" s="54">
        <f t="shared" si="17"/>
        <v>1890</v>
      </c>
      <c r="BB50" s="128"/>
      <c r="BC50" s="129"/>
      <c r="BD50" s="129"/>
    </row>
    <row r="51" spans="1:56" s="130" customFormat="1" ht="18" customHeight="1">
      <c r="A51" s="131">
        <v>38</v>
      </c>
      <c r="B51" s="132" t="s">
        <v>581</v>
      </c>
      <c r="C51" s="109"/>
      <c r="D51" s="110"/>
      <c r="E51" s="111"/>
      <c r="F51" s="112"/>
      <c r="G51" s="112"/>
      <c r="H51" s="112"/>
      <c r="I51" s="112"/>
      <c r="J51" s="112"/>
      <c r="K51" s="112"/>
      <c r="L51" s="113"/>
      <c r="M51" s="114"/>
      <c r="N51" s="114"/>
      <c r="O51" s="114"/>
      <c r="P51" s="114"/>
      <c r="Q51" s="114"/>
      <c r="R51" s="114"/>
      <c r="S51" s="115"/>
      <c r="T51" s="133"/>
      <c r="U51" s="133">
        <v>1</v>
      </c>
      <c r="V51" s="134"/>
      <c r="W51" s="134"/>
      <c r="X51" s="134"/>
      <c r="Y51" s="135"/>
      <c r="Z51" s="117"/>
      <c r="AA51" s="136">
        <f t="shared" si="0"/>
        <v>1</v>
      </c>
      <c r="AB51" s="137"/>
      <c r="AC51" s="137"/>
      <c r="AD51" s="137"/>
      <c r="AE51" s="137"/>
      <c r="AF51" s="138"/>
      <c r="AG51" s="137"/>
      <c r="AH51" s="139">
        <f t="shared" si="1"/>
        <v>0</v>
      </c>
      <c r="AI51" s="144" t="s">
        <v>572</v>
      </c>
      <c r="AJ51" s="141"/>
      <c r="AK51" s="141">
        <v>45000</v>
      </c>
      <c r="AL51" s="142">
        <f t="shared" si="2"/>
        <v>45000</v>
      </c>
      <c r="AM51" s="51">
        <f t="shared" si="3"/>
        <v>0</v>
      </c>
      <c r="AN51" s="51">
        <f t="shared" si="4"/>
        <v>45000</v>
      </c>
      <c r="AO51" s="51">
        <f t="shared" si="5"/>
        <v>0</v>
      </c>
      <c r="AP51" s="51">
        <f t="shared" si="6"/>
        <v>0</v>
      </c>
      <c r="AQ51" s="51">
        <f t="shared" si="7"/>
        <v>0</v>
      </c>
      <c r="AR51" s="51">
        <f t="shared" si="8"/>
        <v>0</v>
      </c>
      <c r="AS51" s="51">
        <f t="shared" si="9"/>
        <v>0</v>
      </c>
      <c r="AT51" s="51">
        <f t="shared" si="10"/>
        <v>45000</v>
      </c>
      <c r="AU51" s="54">
        <f t="shared" si="11"/>
        <v>0</v>
      </c>
      <c r="AV51" s="54">
        <f t="shared" si="12"/>
        <v>0</v>
      </c>
      <c r="AW51" s="54">
        <f t="shared" si="13"/>
        <v>0</v>
      </c>
      <c r="AX51" s="54">
        <f t="shared" si="14"/>
        <v>0</v>
      </c>
      <c r="AY51" s="54">
        <f t="shared" si="15"/>
        <v>0</v>
      </c>
      <c r="AZ51" s="54">
        <f t="shared" si="16"/>
        <v>0</v>
      </c>
      <c r="BA51" s="54">
        <f t="shared" si="17"/>
        <v>0</v>
      </c>
      <c r="BB51" s="128"/>
      <c r="BC51" s="129"/>
      <c r="BD51" s="129"/>
    </row>
    <row r="52" spans="1:56" s="130" customFormat="1" ht="18" customHeight="1">
      <c r="A52" s="131">
        <v>39</v>
      </c>
      <c r="B52" s="132" t="s">
        <v>582</v>
      </c>
      <c r="C52" s="109"/>
      <c r="D52" s="110"/>
      <c r="E52" s="111"/>
      <c r="F52" s="112"/>
      <c r="G52" s="112"/>
      <c r="H52" s="112"/>
      <c r="I52" s="112"/>
      <c r="J52" s="112"/>
      <c r="K52" s="112"/>
      <c r="L52" s="113"/>
      <c r="M52" s="114"/>
      <c r="N52" s="114"/>
      <c r="O52" s="114"/>
      <c r="P52" s="114"/>
      <c r="Q52" s="114"/>
      <c r="R52" s="114"/>
      <c r="S52" s="115"/>
      <c r="T52" s="133"/>
      <c r="U52" s="133">
        <v>1</v>
      </c>
      <c r="V52" s="134"/>
      <c r="W52" s="134"/>
      <c r="X52" s="134"/>
      <c r="Y52" s="135"/>
      <c r="Z52" s="117"/>
      <c r="AA52" s="136">
        <f t="shared" si="0"/>
        <v>1</v>
      </c>
      <c r="AB52" s="137"/>
      <c r="AC52" s="137"/>
      <c r="AD52" s="137"/>
      <c r="AE52" s="137"/>
      <c r="AF52" s="138"/>
      <c r="AG52" s="137"/>
      <c r="AH52" s="139">
        <f t="shared" si="1"/>
        <v>0</v>
      </c>
      <c r="AI52" s="144" t="s">
        <v>572</v>
      </c>
      <c r="AJ52" s="141"/>
      <c r="AK52" s="141">
        <v>13000</v>
      </c>
      <c r="AL52" s="142">
        <f t="shared" si="2"/>
        <v>13000</v>
      </c>
      <c r="AM52" s="51">
        <f t="shared" si="3"/>
        <v>0</v>
      </c>
      <c r="AN52" s="51">
        <f t="shared" si="4"/>
        <v>13000</v>
      </c>
      <c r="AO52" s="51">
        <f t="shared" si="5"/>
        <v>0</v>
      </c>
      <c r="AP52" s="51">
        <f t="shared" si="6"/>
        <v>0</v>
      </c>
      <c r="AQ52" s="51">
        <f t="shared" si="7"/>
        <v>0</v>
      </c>
      <c r="AR52" s="51">
        <f t="shared" si="8"/>
        <v>0</v>
      </c>
      <c r="AS52" s="51">
        <f t="shared" si="9"/>
        <v>0</v>
      </c>
      <c r="AT52" s="51">
        <f t="shared" si="10"/>
        <v>13000</v>
      </c>
      <c r="AU52" s="54">
        <f t="shared" si="11"/>
        <v>0</v>
      </c>
      <c r="AV52" s="54">
        <f t="shared" si="12"/>
        <v>0</v>
      </c>
      <c r="AW52" s="54">
        <f t="shared" si="13"/>
        <v>0</v>
      </c>
      <c r="AX52" s="54">
        <f t="shared" si="14"/>
        <v>0</v>
      </c>
      <c r="AY52" s="54">
        <f t="shared" si="15"/>
        <v>0</v>
      </c>
      <c r="AZ52" s="54">
        <f t="shared" si="16"/>
        <v>0</v>
      </c>
      <c r="BA52" s="54">
        <f t="shared" si="17"/>
        <v>0</v>
      </c>
      <c r="BB52" s="128"/>
      <c r="BC52" s="129"/>
      <c r="BD52" s="129"/>
    </row>
    <row r="53" spans="1:56" s="130" customFormat="1" ht="18" customHeight="1">
      <c r="A53" s="131">
        <v>40</v>
      </c>
      <c r="B53" s="132" t="s">
        <v>583</v>
      </c>
      <c r="C53" s="109"/>
      <c r="D53" s="110"/>
      <c r="E53" s="111"/>
      <c r="F53" s="112"/>
      <c r="G53" s="112"/>
      <c r="H53" s="112"/>
      <c r="I53" s="112"/>
      <c r="J53" s="112"/>
      <c r="K53" s="112"/>
      <c r="L53" s="113"/>
      <c r="M53" s="114"/>
      <c r="N53" s="114"/>
      <c r="O53" s="114"/>
      <c r="P53" s="114"/>
      <c r="Q53" s="114"/>
      <c r="R53" s="114"/>
      <c r="S53" s="115"/>
      <c r="T53" s="133"/>
      <c r="U53" s="133">
        <v>1500</v>
      </c>
      <c r="V53" s="134">
        <v>1500</v>
      </c>
      <c r="W53" s="134">
        <v>1500</v>
      </c>
      <c r="X53" s="134">
        <v>1500</v>
      </c>
      <c r="Y53" s="135">
        <v>1500</v>
      </c>
      <c r="Z53" s="117"/>
      <c r="AA53" s="136">
        <f t="shared" si="0"/>
        <v>7500</v>
      </c>
      <c r="AB53" s="137">
        <v>1650</v>
      </c>
      <c r="AC53" s="137">
        <v>1650</v>
      </c>
      <c r="AD53" s="137">
        <v>1650</v>
      </c>
      <c r="AE53" s="137">
        <v>1650</v>
      </c>
      <c r="AF53" s="138">
        <v>1500</v>
      </c>
      <c r="AG53" s="137"/>
      <c r="AH53" s="139">
        <f t="shared" si="1"/>
        <v>8100</v>
      </c>
      <c r="AI53" s="144" t="s">
        <v>572</v>
      </c>
      <c r="AJ53" s="141">
        <v>6</v>
      </c>
      <c r="AK53" s="141">
        <v>6</v>
      </c>
      <c r="AL53" s="142">
        <f t="shared" si="2"/>
        <v>12</v>
      </c>
      <c r="AM53" s="51">
        <f t="shared" si="3"/>
        <v>0</v>
      </c>
      <c r="AN53" s="51">
        <f t="shared" si="4"/>
        <v>18000</v>
      </c>
      <c r="AO53" s="51">
        <f t="shared" si="5"/>
        <v>18000</v>
      </c>
      <c r="AP53" s="51">
        <f t="shared" si="6"/>
        <v>18000</v>
      </c>
      <c r="AQ53" s="51">
        <f t="shared" si="7"/>
        <v>18000</v>
      </c>
      <c r="AR53" s="51">
        <f t="shared" si="8"/>
        <v>18000</v>
      </c>
      <c r="AS53" s="51">
        <f t="shared" si="9"/>
        <v>0</v>
      </c>
      <c r="AT53" s="51">
        <f t="shared" si="10"/>
        <v>90000</v>
      </c>
      <c r="AU53" s="54">
        <f t="shared" si="11"/>
        <v>19800</v>
      </c>
      <c r="AV53" s="54">
        <f t="shared" si="12"/>
        <v>19800</v>
      </c>
      <c r="AW53" s="54">
        <f t="shared" si="13"/>
        <v>19800</v>
      </c>
      <c r="AX53" s="54">
        <f t="shared" si="14"/>
        <v>19800</v>
      </c>
      <c r="AY53" s="54">
        <f t="shared" si="15"/>
        <v>18000</v>
      </c>
      <c r="AZ53" s="54">
        <f t="shared" si="16"/>
        <v>0</v>
      </c>
      <c r="BA53" s="54">
        <f t="shared" si="17"/>
        <v>97200</v>
      </c>
      <c r="BB53" s="128"/>
      <c r="BC53" s="129"/>
      <c r="BD53" s="129"/>
    </row>
    <row r="54" spans="1:56" s="130" customFormat="1" ht="18" customHeight="1">
      <c r="A54" s="131">
        <v>41</v>
      </c>
      <c r="B54" s="132" t="s">
        <v>584</v>
      </c>
      <c r="C54" s="109"/>
      <c r="D54" s="110"/>
      <c r="E54" s="111"/>
      <c r="F54" s="112"/>
      <c r="G54" s="112"/>
      <c r="H54" s="112"/>
      <c r="I54" s="112"/>
      <c r="J54" s="112"/>
      <c r="K54" s="112"/>
      <c r="L54" s="113"/>
      <c r="M54" s="114"/>
      <c r="N54" s="114"/>
      <c r="O54" s="114"/>
      <c r="P54" s="114"/>
      <c r="Q54" s="114"/>
      <c r="R54" s="114"/>
      <c r="S54" s="115"/>
      <c r="T54" s="133"/>
      <c r="U54" s="133">
        <v>1</v>
      </c>
      <c r="V54" s="134">
        <v>1</v>
      </c>
      <c r="W54" s="134">
        <v>1</v>
      </c>
      <c r="X54" s="134">
        <v>1</v>
      </c>
      <c r="Y54" s="135">
        <v>1</v>
      </c>
      <c r="Z54" s="117"/>
      <c r="AA54" s="136">
        <f t="shared" si="0"/>
        <v>5</v>
      </c>
      <c r="AB54" s="137">
        <v>1</v>
      </c>
      <c r="AC54" s="137">
        <v>1</v>
      </c>
      <c r="AD54" s="137">
        <v>1</v>
      </c>
      <c r="AE54" s="137">
        <v>1</v>
      </c>
      <c r="AF54" s="138">
        <v>1</v>
      </c>
      <c r="AG54" s="137"/>
      <c r="AH54" s="139">
        <f t="shared" si="1"/>
        <v>5</v>
      </c>
      <c r="AI54" s="144" t="s">
        <v>585</v>
      </c>
      <c r="AJ54" s="141">
        <v>65000</v>
      </c>
      <c r="AK54" s="141">
        <v>0</v>
      </c>
      <c r="AL54" s="142">
        <f t="shared" si="2"/>
        <v>65000</v>
      </c>
      <c r="AM54" s="51">
        <f t="shared" si="3"/>
        <v>0</v>
      </c>
      <c r="AN54" s="51">
        <f t="shared" si="4"/>
        <v>65000</v>
      </c>
      <c r="AO54" s="51">
        <f t="shared" si="5"/>
        <v>65000</v>
      </c>
      <c r="AP54" s="51">
        <f t="shared" si="6"/>
        <v>65000</v>
      </c>
      <c r="AQ54" s="51">
        <f t="shared" si="7"/>
        <v>65000</v>
      </c>
      <c r="AR54" s="51">
        <f t="shared" si="8"/>
        <v>65000</v>
      </c>
      <c r="AS54" s="51">
        <f t="shared" si="9"/>
        <v>0</v>
      </c>
      <c r="AT54" s="51">
        <f t="shared" si="10"/>
        <v>325000</v>
      </c>
      <c r="AU54" s="54">
        <f t="shared" si="11"/>
        <v>65000</v>
      </c>
      <c r="AV54" s="54">
        <f t="shared" si="12"/>
        <v>65000</v>
      </c>
      <c r="AW54" s="54">
        <f t="shared" si="13"/>
        <v>65000</v>
      </c>
      <c r="AX54" s="54">
        <f t="shared" si="14"/>
        <v>65000</v>
      </c>
      <c r="AY54" s="54">
        <f t="shared" si="15"/>
        <v>65000</v>
      </c>
      <c r="AZ54" s="54">
        <f t="shared" si="16"/>
        <v>0</v>
      </c>
      <c r="BA54" s="54">
        <f t="shared" si="17"/>
        <v>325000</v>
      </c>
      <c r="BB54" s="128"/>
      <c r="BC54" s="129"/>
      <c r="BD54" s="129"/>
    </row>
    <row r="55" spans="1:56" s="130" customFormat="1" ht="18" customHeight="1">
      <c r="A55" s="131">
        <v>42</v>
      </c>
      <c r="B55" s="132"/>
      <c r="C55" s="109"/>
      <c r="D55" s="110"/>
      <c r="E55" s="111"/>
      <c r="F55" s="112"/>
      <c r="G55" s="112"/>
      <c r="H55" s="112"/>
      <c r="I55" s="112"/>
      <c r="J55" s="112"/>
      <c r="K55" s="112"/>
      <c r="L55" s="113"/>
      <c r="M55" s="114"/>
      <c r="N55" s="114"/>
      <c r="O55" s="114"/>
      <c r="P55" s="114"/>
      <c r="Q55" s="114"/>
      <c r="R55" s="114"/>
      <c r="S55" s="115"/>
      <c r="T55" s="133"/>
      <c r="U55" s="133"/>
      <c r="V55" s="134"/>
      <c r="W55" s="134"/>
      <c r="X55" s="134"/>
      <c r="Y55" s="135"/>
      <c r="Z55" s="117"/>
      <c r="AA55" s="136">
        <f t="shared" si="0"/>
        <v>0</v>
      </c>
      <c r="AB55" s="137"/>
      <c r="AC55" s="137"/>
      <c r="AD55" s="137"/>
      <c r="AE55" s="137"/>
      <c r="AF55" s="138"/>
      <c r="AG55" s="137"/>
      <c r="AH55" s="139">
        <f t="shared" si="1"/>
        <v>0</v>
      </c>
      <c r="AI55" s="123"/>
      <c r="AJ55" s="141"/>
      <c r="AK55" s="141"/>
      <c r="AL55" s="142">
        <f t="shared" si="2"/>
        <v>0</v>
      </c>
      <c r="AM55" s="51">
        <f t="shared" si="3"/>
        <v>0</v>
      </c>
      <c r="AN55" s="51">
        <f t="shared" si="4"/>
        <v>0</v>
      </c>
      <c r="AO55" s="51">
        <f t="shared" si="5"/>
        <v>0</v>
      </c>
      <c r="AP55" s="51">
        <f t="shared" si="6"/>
        <v>0</v>
      </c>
      <c r="AQ55" s="51">
        <f t="shared" si="7"/>
        <v>0</v>
      </c>
      <c r="AR55" s="51">
        <f t="shared" si="8"/>
        <v>0</v>
      </c>
      <c r="AS55" s="51">
        <f t="shared" si="9"/>
        <v>0</v>
      </c>
      <c r="AT55" s="51">
        <f t="shared" si="10"/>
        <v>0</v>
      </c>
      <c r="AU55" s="54">
        <f t="shared" si="11"/>
        <v>0</v>
      </c>
      <c r="AV55" s="54">
        <f t="shared" si="12"/>
        <v>0</v>
      </c>
      <c r="AW55" s="54">
        <f t="shared" si="13"/>
        <v>0</v>
      </c>
      <c r="AX55" s="54">
        <f t="shared" si="14"/>
        <v>0</v>
      </c>
      <c r="AY55" s="54">
        <f t="shared" si="15"/>
        <v>0</v>
      </c>
      <c r="AZ55" s="54">
        <f t="shared" si="16"/>
        <v>0</v>
      </c>
      <c r="BA55" s="54">
        <f t="shared" si="17"/>
        <v>0</v>
      </c>
      <c r="BB55" s="128"/>
      <c r="BC55" s="129"/>
      <c r="BD55" s="129"/>
    </row>
    <row r="56" spans="1:56" s="130" customFormat="1" ht="18" customHeight="1">
      <c r="A56" s="131">
        <v>43</v>
      </c>
      <c r="B56" s="132" t="s">
        <v>586</v>
      </c>
      <c r="C56" s="109"/>
      <c r="D56" s="110"/>
      <c r="E56" s="111"/>
      <c r="F56" s="112"/>
      <c r="G56" s="112"/>
      <c r="H56" s="112"/>
      <c r="I56" s="112"/>
      <c r="J56" s="112"/>
      <c r="K56" s="112"/>
      <c r="L56" s="113"/>
      <c r="M56" s="114"/>
      <c r="N56" s="114"/>
      <c r="O56" s="114"/>
      <c r="P56" s="114"/>
      <c r="Q56" s="114"/>
      <c r="R56" s="114"/>
      <c r="S56" s="115"/>
      <c r="T56" s="133"/>
      <c r="U56" s="133">
        <v>1</v>
      </c>
      <c r="V56" s="134"/>
      <c r="W56" s="134"/>
      <c r="X56" s="134"/>
      <c r="Y56" s="135"/>
      <c r="Z56" s="117"/>
      <c r="AA56" s="136">
        <f t="shared" si="0"/>
        <v>1</v>
      </c>
      <c r="AB56" s="137"/>
      <c r="AC56" s="137"/>
      <c r="AD56" s="137"/>
      <c r="AE56" s="137"/>
      <c r="AF56" s="138"/>
      <c r="AG56" s="137"/>
      <c r="AH56" s="139">
        <f t="shared" si="1"/>
        <v>0</v>
      </c>
      <c r="AI56" s="144" t="s">
        <v>585</v>
      </c>
      <c r="AJ56" s="141">
        <v>42000</v>
      </c>
      <c r="AK56" s="141">
        <v>8000</v>
      </c>
      <c r="AL56" s="142">
        <f t="shared" si="2"/>
        <v>50000</v>
      </c>
      <c r="AM56" s="51">
        <f t="shared" si="3"/>
        <v>0</v>
      </c>
      <c r="AN56" s="51">
        <f t="shared" si="4"/>
        <v>50000</v>
      </c>
      <c r="AO56" s="51">
        <f t="shared" si="5"/>
        <v>0</v>
      </c>
      <c r="AP56" s="51">
        <f t="shared" si="6"/>
        <v>0</v>
      </c>
      <c r="AQ56" s="51">
        <f t="shared" si="7"/>
        <v>0</v>
      </c>
      <c r="AR56" s="51">
        <f t="shared" si="8"/>
        <v>0</v>
      </c>
      <c r="AS56" s="51">
        <f t="shared" si="9"/>
        <v>0</v>
      </c>
      <c r="AT56" s="51">
        <f t="shared" si="10"/>
        <v>50000</v>
      </c>
      <c r="AU56" s="54">
        <f t="shared" si="11"/>
        <v>0</v>
      </c>
      <c r="AV56" s="54">
        <f t="shared" si="12"/>
        <v>0</v>
      </c>
      <c r="AW56" s="54">
        <f t="shared" si="13"/>
        <v>0</v>
      </c>
      <c r="AX56" s="54">
        <f t="shared" si="14"/>
        <v>0</v>
      </c>
      <c r="AY56" s="54">
        <f t="shared" si="15"/>
        <v>0</v>
      </c>
      <c r="AZ56" s="54">
        <f t="shared" si="16"/>
        <v>0</v>
      </c>
      <c r="BA56" s="54">
        <f t="shared" si="17"/>
        <v>0</v>
      </c>
      <c r="BB56" s="128"/>
      <c r="BC56" s="129"/>
      <c r="BD56" s="129"/>
    </row>
    <row r="57" spans="1:56" s="130" customFormat="1" ht="18" customHeight="1">
      <c r="A57" s="131">
        <v>44</v>
      </c>
      <c r="B57" s="132" t="s">
        <v>587</v>
      </c>
      <c r="C57" s="109"/>
      <c r="D57" s="110"/>
      <c r="E57" s="111"/>
      <c r="F57" s="112"/>
      <c r="G57" s="112"/>
      <c r="H57" s="112"/>
      <c r="I57" s="112"/>
      <c r="J57" s="112"/>
      <c r="K57" s="112"/>
      <c r="L57" s="113"/>
      <c r="M57" s="114"/>
      <c r="N57" s="114"/>
      <c r="O57" s="114"/>
      <c r="P57" s="114"/>
      <c r="Q57" s="114"/>
      <c r="R57" s="114"/>
      <c r="S57" s="115"/>
      <c r="T57" s="133"/>
      <c r="U57" s="133">
        <v>1</v>
      </c>
      <c r="V57" s="134"/>
      <c r="W57" s="134"/>
      <c r="X57" s="134"/>
      <c r="Y57" s="135"/>
      <c r="Z57" s="117"/>
      <c r="AA57" s="136">
        <f t="shared" si="0"/>
        <v>1</v>
      </c>
      <c r="AB57" s="137"/>
      <c r="AC57" s="137"/>
      <c r="AD57" s="137"/>
      <c r="AE57" s="137"/>
      <c r="AF57" s="138"/>
      <c r="AG57" s="137"/>
      <c r="AH57" s="139">
        <f t="shared" si="1"/>
        <v>0</v>
      </c>
      <c r="AI57" s="144" t="s">
        <v>585</v>
      </c>
      <c r="AJ57" s="141">
        <v>40000</v>
      </c>
      <c r="AK57" s="141"/>
      <c r="AL57" s="142">
        <f t="shared" si="2"/>
        <v>40000</v>
      </c>
      <c r="AM57" s="51">
        <f t="shared" si="3"/>
        <v>0</v>
      </c>
      <c r="AN57" s="51">
        <f t="shared" si="4"/>
        <v>40000</v>
      </c>
      <c r="AO57" s="51">
        <f t="shared" si="5"/>
        <v>0</v>
      </c>
      <c r="AP57" s="51">
        <f t="shared" si="6"/>
        <v>0</v>
      </c>
      <c r="AQ57" s="51">
        <f t="shared" si="7"/>
        <v>0</v>
      </c>
      <c r="AR57" s="51">
        <f t="shared" si="8"/>
        <v>0</v>
      </c>
      <c r="AS57" s="51">
        <f t="shared" si="9"/>
        <v>0</v>
      </c>
      <c r="AT57" s="51">
        <f t="shared" si="10"/>
        <v>40000</v>
      </c>
      <c r="AU57" s="54">
        <f t="shared" si="11"/>
        <v>0</v>
      </c>
      <c r="AV57" s="54">
        <f t="shared" si="12"/>
        <v>0</v>
      </c>
      <c r="AW57" s="54">
        <f t="shared" si="13"/>
        <v>0</v>
      </c>
      <c r="AX57" s="54">
        <f t="shared" si="14"/>
        <v>0</v>
      </c>
      <c r="AY57" s="54">
        <f t="shared" si="15"/>
        <v>0</v>
      </c>
      <c r="AZ57" s="54">
        <f t="shared" si="16"/>
        <v>0</v>
      </c>
      <c r="BA57" s="54">
        <f t="shared" si="17"/>
        <v>0</v>
      </c>
      <c r="BB57" s="128"/>
      <c r="BC57" s="129"/>
      <c r="BD57" s="129"/>
    </row>
    <row r="58" spans="1:56" s="168" customFormat="1" ht="24" customHeight="1">
      <c r="A58" s="145"/>
      <c r="B58" s="146" t="s">
        <v>588</v>
      </c>
      <c r="C58" s="147"/>
      <c r="D58" s="148"/>
      <c r="E58" s="149"/>
      <c r="F58" s="150"/>
      <c r="G58" s="150"/>
      <c r="H58" s="150"/>
      <c r="I58" s="150"/>
      <c r="J58" s="150"/>
      <c r="K58" s="150"/>
      <c r="L58" s="151"/>
      <c r="M58" s="152"/>
      <c r="N58" s="152"/>
      <c r="O58" s="152"/>
      <c r="P58" s="152"/>
      <c r="Q58" s="152"/>
      <c r="R58" s="152"/>
      <c r="S58" s="153"/>
      <c r="T58" s="154"/>
      <c r="U58" s="154"/>
      <c r="V58" s="155"/>
      <c r="W58" s="155"/>
      <c r="X58" s="155"/>
      <c r="Y58" s="156"/>
      <c r="Z58" s="155"/>
      <c r="AA58" s="157"/>
      <c r="AB58" s="158"/>
      <c r="AC58" s="158"/>
      <c r="AD58" s="158"/>
      <c r="AE58" s="158"/>
      <c r="AF58" s="159"/>
      <c r="AG58" s="158"/>
      <c r="AH58" s="160"/>
      <c r="AI58" s="161"/>
      <c r="AJ58" s="162"/>
      <c r="AK58" s="162"/>
      <c r="AL58" s="163"/>
      <c r="AM58" s="164">
        <f>SUBTOTAL(9,AM13:AM57)</f>
        <v>0</v>
      </c>
      <c r="AN58" s="164">
        <f t="shared" ref="AN58:AT58" si="18">SUBTOTAL(9,AN13:AN57)</f>
        <v>866250</v>
      </c>
      <c r="AO58" s="164">
        <f t="shared" si="18"/>
        <v>646385</v>
      </c>
      <c r="AP58" s="164">
        <f t="shared" si="18"/>
        <v>688665</v>
      </c>
      <c r="AQ58" s="164">
        <f t="shared" si="18"/>
        <v>646845</v>
      </c>
      <c r="AR58" s="164">
        <f t="shared" si="18"/>
        <v>634025</v>
      </c>
      <c r="AS58" s="164">
        <f t="shared" si="18"/>
        <v>1774542.8</v>
      </c>
      <c r="AT58" s="164">
        <f t="shared" si="18"/>
        <v>5256712.8</v>
      </c>
      <c r="AU58" s="165">
        <f>SUBTOTAL(9,AU13:AU57)</f>
        <v>658075</v>
      </c>
      <c r="AV58" s="165">
        <f t="shared" ref="AV58:BA58" si="19">SUBTOTAL(9,AV13:AV57)</f>
        <v>678710</v>
      </c>
      <c r="AW58" s="165">
        <f t="shared" si="19"/>
        <v>696060</v>
      </c>
      <c r="AX58" s="165">
        <f t="shared" si="19"/>
        <v>686540</v>
      </c>
      <c r="AY58" s="165">
        <f t="shared" si="19"/>
        <v>631070</v>
      </c>
      <c r="AZ58" s="165">
        <f t="shared" si="19"/>
        <v>0</v>
      </c>
      <c r="BA58" s="165">
        <f t="shared" si="19"/>
        <v>3350455</v>
      </c>
      <c r="BB58" s="166"/>
      <c r="BC58" s="167"/>
      <c r="BD58" s="167"/>
    </row>
    <row r="59" spans="1:56" s="130" customFormat="1" ht="24" customHeight="1">
      <c r="A59" s="131"/>
      <c r="B59" s="169"/>
      <c r="C59" s="109"/>
      <c r="D59" s="110"/>
      <c r="E59" s="111"/>
      <c r="F59" s="112"/>
      <c r="G59" s="112"/>
      <c r="H59" s="112"/>
      <c r="I59" s="112"/>
      <c r="J59" s="112"/>
      <c r="K59" s="112"/>
      <c r="L59" s="113"/>
      <c r="M59" s="114"/>
      <c r="N59" s="114"/>
      <c r="O59" s="114"/>
      <c r="P59" s="114"/>
      <c r="Q59" s="114"/>
      <c r="R59" s="114"/>
      <c r="S59" s="115"/>
      <c r="T59" s="116"/>
      <c r="U59" s="116"/>
      <c r="V59" s="117"/>
      <c r="W59" s="117"/>
      <c r="X59" s="117"/>
      <c r="Y59" s="118"/>
      <c r="Z59" s="117"/>
      <c r="AA59" s="119"/>
      <c r="AB59" s="120"/>
      <c r="AC59" s="120"/>
      <c r="AD59" s="120"/>
      <c r="AE59" s="120"/>
      <c r="AF59" s="121"/>
      <c r="AG59" s="120"/>
      <c r="AH59" s="122"/>
      <c r="AI59" s="123"/>
      <c r="AJ59" s="124"/>
      <c r="AK59" s="124"/>
      <c r="AL59" s="125"/>
      <c r="AM59" s="126"/>
      <c r="AN59" s="126"/>
      <c r="AO59" s="126"/>
      <c r="AP59" s="52"/>
      <c r="AQ59" s="126"/>
      <c r="AR59" s="126"/>
      <c r="AS59" s="126"/>
      <c r="AT59" s="52"/>
      <c r="AU59" s="127"/>
      <c r="AV59" s="127"/>
      <c r="AW59" s="55"/>
      <c r="AX59" s="127"/>
      <c r="AY59" s="127"/>
      <c r="AZ59" s="127"/>
      <c r="BA59" s="55"/>
      <c r="BB59" s="128"/>
      <c r="BC59" s="129"/>
      <c r="BD59" s="129"/>
    </row>
    <row r="60" spans="1:56" s="130" customFormat="1" ht="24" customHeight="1">
      <c r="A60" s="107" t="s">
        <v>483</v>
      </c>
      <c r="B60" s="108" t="s">
        <v>589</v>
      </c>
      <c r="C60" s="109"/>
      <c r="D60" s="110"/>
      <c r="E60" s="111"/>
      <c r="F60" s="112"/>
      <c r="G60" s="112"/>
      <c r="H60" s="112"/>
      <c r="I60" s="112"/>
      <c r="J60" s="112"/>
      <c r="K60" s="112"/>
      <c r="L60" s="113"/>
      <c r="M60" s="114"/>
      <c r="N60" s="114"/>
      <c r="O60" s="114"/>
      <c r="P60" s="114"/>
      <c r="Q60" s="114"/>
      <c r="R60" s="114"/>
      <c r="S60" s="115"/>
      <c r="T60" s="116"/>
      <c r="U60" s="116"/>
      <c r="V60" s="117"/>
      <c r="W60" s="117"/>
      <c r="X60" s="117"/>
      <c r="Y60" s="118"/>
      <c r="Z60" s="117"/>
      <c r="AA60" s="119"/>
      <c r="AB60" s="120"/>
      <c r="AC60" s="120"/>
      <c r="AD60" s="120"/>
      <c r="AE60" s="120"/>
      <c r="AF60" s="121"/>
      <c r="AG60" s="120"/>
      <c r="AH60" s="122"/>
      <c r="AI60" s="123"/>
      <c r="AJ60" s="124"/>
      <c r="AK60" s="124"/>
      <c r="AL60" s="125"/>
      <c r="AM60" s="126"/>
      <c r="AN60" s="126"/>
      <c r="AO60" s="126"/>
      <c r="AP60" s="52"/>
      <c r="AQ60" s="126"/>
      <c r="AR60" s="126"/>
      <c r="AS60" s="126"/>
      <c r="AT60" s="52"/>
      <c r="AU60" s="127"/>
      <c r="AV60" s="127"/>
      <c r="AW60" s="55"/>
      <c r="AX60" s="127"/>
      <c r="AY60" s="127"/>
      <c r="AZ60" s="127"/>
      <c r="BA60" s="55"/>
      <c r="BB60" s="128"/>
      <c r="BC60" s="129"/>
      <c r="BD60" s="129"/>
    </row>
    <row r="61" spans="1:56" s="67" customFormat="1" ht="11.45">
      <c r="A61" s="170">
        <v>45</v>
      </c>
      <c r="B61" s="171" t="s">
        <v>590</v>
      </c>
      <c r="C61" s="172"/>
      <c r="D61" s="173"/>
      <c r="E61" s="174"/>
      <c r="F61" s="175"/>
      <c r="G61" s="175"/>
      <c r="H61" s="175"/>
      <c r="I61" s="175"/>
      <c r="J61" s="175"/>
      <c r="K61" s="175"/>
      <c r="L61" s="175">
        <f t="shared" ref="L61:L124" si="20">SUM(F61:K61)</f>
        <v>0</v>
      </c>
      <c r="M61" s="176"/>
      <c r="N61" s="176"/>
      <c r="O61" s="176"/>
      <c r="P61" s="176"/>
      <c r="Q61" s="176"/>
      <c r="R61" s="176"/>
      <c r="S61" s="176">
        <f t="shared" ref="S61:S124" si="21">SUM(M61:R61)</f>
        <v>0</v>
      </c>
      <c r="T61" s="177">
        <v>0</v>
      </c>
      <c r="U61" s="177">
        <v>140</v>
      </c>
      <c r="V61" s="178">
        <v>99</v>
      </c>
      <c r="W61" s="178">
        <v>114</v>
      </c>
      <c r="X61" s="178">
        <v>98</v>
      </c>
      <c r="Y61" s="179">
        <v>100</v>
      </c>
      <c r="Z61" s="178">
        <v>0</v>
      </c>
      <c r="AA61" s="136">
        <f t="shared" ref="AA61:AA124" si="22">SUM(T61:Z61)</f>
        <v>551</v>
      </c>
      <c r="AB61" s="180">
        <v>79</v>
      </c>
      <c r="AC61" s="180">
        <v>92</v>
      </c>
      <c r="AD61" s="180">
        <v>90</v>
      </c>
      <c r="AE61" s="180">
        <v>92</v>
      </c>
      <c r="AF61" s="181">
        <v>84</v>
      </c>
      <c r="AG61" s="180">
        <v>0</v>
      </c>
      <c r="AH61" s="139">
        <f t="shared" ref="AH61:AH124" si="23">SUM(AB61:AG61)</f>
        <v>437</v>
      </c>
      <c r="AI61" s="144" t="s">
        <v>572</v>
      </c>
      <c r="AJ61" s="141">
        <v>300</v>
      </c>
      <c r="AK61" s="141">
        <v>0</v>
      </c>
      <c r="AL61" s="142">
        <f t="shared" ref="AL61:AL124" si="24">AJ61+AK61</f>
        <v>300</v>
      </c>
      <c r="AM61" s="51">
        <f t="shared" ref="AM61:AM124" si="25">T61*AL61</f>
        <v>0</v>
      </c>
      <c r="AN61" s="51">
        <f t="shared" ref="AN61:AN124" si="26">U61*AL61</f>
        <v>42000</v>
      </c>
      <c r="AO61" s="51">
        <f t="shared" ref="AO61:AO124" si="27">V61*AL61</f>
        <v>29700</v>
      </c>
      <c r="AP61" s="51">
        <f t="shared" ref="AP61:AP124" si="28">W61*AL61</f>
        <v>34200</v>
      </c>
      <c r="AQ61" s="51">
        <f t="shared" ref="AQ61:AQ124" si="29">X61*AL61</f>
        <v>29400</v>
      </c>
      <c r="AR61" s="51">
        <f t="shared" ref="AR61:AR124" si="30">Y61*AL61</f>
        <v>30000</v>
      </c>
      <c r="AS61" s="51">
        <f t="shared" ref="AS61:AS124" si="31">Z61*AL61</f>
        <v>0</v>
      </c>
      <c r="AT61" s="51">
        <f>SUM(AM61:AS61)</f>
        <v>165300</v>
      </c>
      <c r="AU61" s="54">
        <f t="shared" ref="AU61:AU124" si="32">AB61*AL61</f>
        <v>23700</v>
      </c>
      <c r="AV61" s="54">
        <f t="shared" ref="AV61:AV124" si="33">AC61*AL61</f>
        <v>27600</v>
      </c>
      <c r="AW61" s="54">
        <f t="shared" ref="AW61:AW124" si="34">AD61*AL61</f>
        <v>27000</v>
      </c>
      <c r="AX61" s="54">
        <f t="shared" ref="AX61:AX124" si="35">AE61*AL61</f>
        <v>27600</v>
      </c>
      <c r="AY61" s="54">
        <f t="shared" ref="AY61:AY124" si="36">AF61*AL61</f>
        <v>25200</v>
      </c>
      <c r="AZ61" s="54">
        <f t="shared" ref="AZ61:AZ124" si="37">AG61*AL61</f>
        <v>0</v>
      </c>
      <c r="BA61" s="54">
        <f t="shared" ref="BA61:BA124" si="38">SUM(AU61:AZ61)</f>
        <v>131100</v>
      </c>
      <c r="BB61" s="128"/>
      <c r="BC61" s="182"/>
      <c r="BD61" s="182"/>
    </row>
    <row r="62" spans="1:56" s="67" customFormat="1" ht="34.5">
      <c r="A62" s="170">
        <v>46</v>
      </c>
      <c r="B62" s="171" t="s">
        <v>591</v>
      </c>
      <c r="C62" s="172"/>
      <c r="D62" s="173"/>
      <c r="E62" s="174"/>
      <c r="F62" s="175"/>
      <c r="G62" s="175"/>
      <c r="H62" s="175"/>
      <c r="I62" s="175"/>
      <c r="J62" s="175"/>
      <c r="K62" s="175"/>
      <c r="L62" s="175">
        <f t="shared" si="20"/>
        <v>0</v>
      </c>
      <c r="M62" s="176"/>
      <c r="N62" s="176"/>
      <c r="O62" s="176"/>
      <c r="P62" s="176"/>
      <c r="Q62" s="176"/>
      <c r="R62" s="176"/>
      <c r="S62" s="176">
        <f t="shared" si="21"/>
        <v>0</v>
      </c>
      <c r="T62" s="177">
        <v>0</v>
      </c>
      <c r="U62" s="177">
        <v>5</v>
      </c>
      <c r="V62" s="178">
        <v>5</v>
      </c>
      <c r="W62" s="178">
        <v>5</v>
      </c>
      <c r="X62" s="178">
        <v>5</v>
      </c>
      <c r="Y62" s="179">
        <v>5</v>
      </c>
      <c r="Z62" s="178">
        <v>0</v>
      </c>
      <c r="AA62" s="136">
        <f t="shared" si="22"/>
        <v>25</v>
      </c>
      <c r="AB62" s="180">
        <v>5</v>
      </c>
      <c r="AC62" s="180">
        <v>5</v>
      </c>
      <c r="AD62" s="180">
        <v>5</v>
      </c>
      <c r="AE62" s="180">
        <v>5</v>
      </c>
      <c r="AF62" s="181">
        <v>5</v>
      </c>
      <c r="AG62" s="180">
        <v>0</v>
      </c>
      <c r="AH62" s="139">
        <f t="shared" si="23"/>
        <v>25</v>
      </c>
      <c r="AI62" s="144" t="s">
        <v>572</v>
      </c>
      <c r="AJ62" s="141">
        <v>6250</v>
      </c>
      <c r="AK62" s="141">
        <v>0</v>
      </c>
      <c r="AL62" s="142">
        <f t="shared" si="24"/>
        <v>6250</v>
      </c>
      <c r="AM62" s="51">
        <f t="shared" si="25"/>
        <v>0</v>
      </c>
      <c r="AN62" s="51">
        <f t="shared" si="26"/>
        <v>31250</v>
      </c>
      <c r="AO62" s="51">
        <f t="shared" si="27"/>
        <v>31250</v>
      </c>
      <c r="AP62" s="51">
        <f t="shared" si="28"/>
        <v>31250</v>
      </c>
      <c r="AQ62" s="51">
        <f t="shared" si="29"/>
        <v>31250</v>
      </c>
      <c r="AR62" s="51">
        <f t="shared" si="30"/>
        <v>31250</v>
      </c>
      <c r="AS62" s="51">
        <f t="shared" si="31"/>
        <v>0</v>
      </c>
      <c r="AT62" s="51">
        <f t="shared" ref="AT62:AT125" si="39">SUM(AM62:AS62)</f>
        <v>156250</v>
      </c>
      <c r="AU62" s="54">
        <f t="shared" si="32"/>
        <v>31250</v>
      </c>
      <c r="AV62" s="54">
        <f t="shared" si="33"/>
        <v>31250</v>
      </c>
      <c r="AW62" s="54">
        <f t="shared" si="34"/>
        <v>31250</v>
      </c>
      <c r="AX62" s="54">
        <f t="shared" si="35"/>
        <v>31250</v>
      </c>
      <c r="AY62" s="54">
        <f t="shared" si="36"/>
        <v>31250</v>
      </c>
      <c r="AZ62" s="54">
        <f t="shared" si="37"/>
        <v>0</v>
      </c>
      <c r="BA62" s="54">
        <f t="shared" si="38"/>
        <v>156250</v>
      </c>
      <c r="BB62" s="128"/>
      <c r="BC62" s="182"/>
      <c r="BD62" s="182"/>
    </row>
    <row r="63" spans="1:56" s="67" customFormat="1" ht="11.45">
      <c r="A63" s="170">
        <v>47</v>
      </c>
      <c r="B63" s="171" t="s">
        <v>592</v>
      </c>
      <c r="C63" s="172"/>
      <c r="D63" s="173"/>
      <c r="E63" s="174"/>
      <c r="F63" s="175"/>
      <c r="G63" s="175"/>
      <c r="H63" s="175"/>
      <c r="I63" s="175"/>
      <c r="J63" s="175"/>
      <c r="K63" s="175"/>
      <c r="L63" s="175">
        <f t="shared" si="20"/>
        <v>0</v>
      </c>
      <c r="M63" s="176"/>
      <c r="N63" s="176"/>
      <c r="O63" s="176"/>
      <c r="P63" s="176"/>
      <c r="Q63" s="176"/>
      <c r="R63" s="176"/>
      <c r="S63" s="176">
        <f t="shared" si="21"/>
        <v>0</v>
      </c>
      <c r="T63" s="177">
        <v>0</v>
      </c>
      <c r="U63" s="177">
        <v>62</v>
      </c>
      <c r="V63" s="178">
        <v>53</v>
      </c>
      <c r="W63" s="178">
        <v>80</v>
      </c>
      <c r="X63" s="178">
        <v>62</v>
      </c>
      <c r="Y63" s="179">
        <v>79</v>
      </c>
      <c r="Z63" s="178">
        <v>0</v>
      </c>
      <c r="AA63" s="136">
        <f t="shared" si="22"/>
        <v>336</v>
      </c>
      <c r="AB63" s="180">
        <v>52</v>
      </c>
      <c r="AC63" s="180">
        <v>54</v>
      </c>
      <c r="AD63" s="180">
        <v>60</v>
      </c>
      <c r="AE63" s="180">
        <v>57</v>
      </c>
      <c r="AF63" s="181">
        <v>60</v>
      </c>
      <c r="AG63" s="180">
        <v>0</v>
      </c>
      <c r="AH63" s="139">
        <f t="shared" si="23"/>
        <v>283</v>
      </c>
      <c r="AI63" s="144" t="s">
        <v>541</v>
      </c>
      <c r="AJ63" s="141">
        <v>75</v>
      </c>
      <c r="AK63" s="141">
        <v>285</v>
      </c>
      <c r="AL63" s="142">
        <f t="shared" si="24"/>
        <v>360</v>
      </c>
      <c r="AM63" s="51">
        <f t="shared" si="25"/>
        <v>0</v>
      </c>
      <c r="AN63" s="51">
        <f t="shared" si="26"/>
        <v>22320</v>
      </c>
      <c r="AO63" s="51">
        <f t="shared" si="27"/>
        <v>19080</v>
      </c>
      <c r="AP63" s="51">
        <f t="shared" si="28"/>
        <v>28800</v>
      </c>
      <c r="AQ63" s="51">
        <f t="shared" si="29"/>
        <v>22320</v>
      </c>
      <c r="AR63" s="51">
        <f t="shared" si="30"/>
        <v>28440</v>
      </c>
      <c r="AS63" s="51">
        <f t="shared" si="31"/>
        <v>0</v>
      </c>
      <c r="AT63" s="51">
        <f t="shared" si="39"/>
        <v>120960</v>
      </c>
      <c r="AU63" s="54">
        <f t="shared" si="32"/>
        <v>18720</v>
      </c>
      <c r="AV63" s="54">
        <f t="shared" si="33"/>
        <v>19440</v>
      </c>
      <c r="AW63" s="54">
        <f t="shared" si="34"/>
        <v>21600</v>
      </c>
      <c r="AX63" s="54">
        <f t="shared" si="35"/>
        <v>20520</v>
      </c>
      <c r="AY63" s="54">
        <f t="shared" si="36"/>
        <v>21600</v>
      </c>
      <c r="AZ63" s="54">
        <f t="shared" si="37"/>
        <v>0</v>
      </c>
      <c r="BA63" s="54">
        <f t="shared" si="38"/>
        <v>101880</v>
      </c>
      <c r="BB63" s="128"/>
      <c r="BC63" s="182"/>
      <c r="BD63" s="182"/>
    </row>
    <row r="64" spans="1:56">
      <c r="A64" s="170">
        <v>48</v>
      </c>
      <c r="B64" s="171" t="s">
        <v>593</v>
      </c>
      <c r="C64" s="172"/>
      <c r="D64" s="173"/>
      <c r="E64" s="174"/>
      <c r="F64" s="175"/>
      <c r="G64" s="175"/>
      <c r="H64" s="175"/>
      <c r="I64" s="175"/>
      <c r="J64" s="175"/>
      <c r="K64" s="175"/>
      <c r="L64" s="175">
        <f t="shared" si="20"/>
        <v>0</v>
      </c>
      <c r="M64" s="176"/>
      <c r="N64" s="176"/>
      <c r="O64" s="176"/>
      <c r="P64" s="176"/>
      <c r="Q64" s="176"/>
      <c r="R64" s="176"/>
      <c r="S64" s="176">
        <f t="shared" si="21"/>
        <v>0</v>
      </c>
      <c r="T64" s="177">
        <v>0</v>
      </c>
      <c r="U64" s="177">
        <v>1</v>
      </c>
      <c r="V64" s="178">
        <v>0</v>
      </c>
      <c r="W64" s="178">
        <v>0</v>
      </c>
      <c r="X64" s="178">
        <v>0</v>
      </c>
      <c r="Y64" s="179">
        <v>0</v>
      </c>
      <c r="Z64" s="178">
        <v>0</v>
      </c>
      <c r="AA64" s="136">
        <f t="shared" si="22"/>
        <v>1</v>
      </c>
      <c r="AB64" s="180">
        <v>0</v>
      </c>
      <c r="AC64" s="180">
        <v>4</v>
      </c>
      <c r="AD64" s="180">
        <v>4</v>
      </c>
      <c r="AE64" s="180">
        <v>4</v>
      </c>
      <c r="AF64" s="181">
        <v>0</v>
      </c>
      <c r="AG64" s="180">
        <v>0</v>
      </c>
      <c r="AH64" s="139">
        <f t="shared" si="23"/>
        <v>12</v>
      </c>
      <c r="AI64" s="144" t="s">
        <v>541</v>
      </c>
      <c r="AJ64" s="141">
        <v>100</v>
      </c>
      <c r="AK64" s="141">
        <v>892.5</v>
      </c>
      <c r="AL64" s="142">
        <f t="shared" si="24"/>
        <v>992.5</v>
      </c>
      <c r="AM64" s="51">
        <f t="shared" si="25"/>
        <v>0</v>
      </c>
      <c r="AN64" s="51">
        <f t="shared" si="26"/>
        <v>992.5</v>
      </c>
      <c r="AO64" s="51">
        <f t="shared" si="27"/>
        <v>0</v>
      </c>
      <c r="AP64" s="51">
        <f t="shared" si="28"/>
        <v>0</v>
      </c>
      <c r="AQ64" s="51">
        <f t="shared" si="29"/>
        <v>0</v>
      </c>
      <c r="AR64" s="51">
        <f t="shared" si="30"/>
        <v>0</v>
      </c>
      <c r="AS64" s="51">
        <f t="shared" si="31"/>
        <v>0</v>
      </c>
      <c r="AT64" s="51">
        <f t="shared" si="39"/>
        <v>992.5</v>
      </c>
      <c r="AU64" s="54">
        <f t="shared" si="32"/>
        <v>0</v>
      </c>
      <c r="AV64" s="54">
        <f t="shared" si="33"/>
        <v>3970</v>
      </c>
      <c r="AW64" s="54">
        <f t="shared" si="34"/>
        <v>3970</v>
      </c>
      <c r="AX64" s="54">
        <f t="shared" si="35"/>
        <v>3970</v>
      </c>
      <c r="AY64" s="54">
        <f t="shared" si="36"/>
        <v>0</v>
      </c>
      <c r="AZ64" s="54">
        <f t="shared" si="37"/>
        <v>0</v>
      </c>
      <c r="BA64" s="54">
        <f t="shared" si="38"/>
        <v>11910</v>
      </c>
      <c r="BB64" s="128"/>
    </row>
    <row r="65" spans="1:54">
      <c r="A65" s="170">
        <v>49</v>
      </c>
      <c r="B65" s="171" t="s">
        <v>594</v>
      </c>
      <c r="C65" s="172"/>
      <c r="D65" s="173"/>
      <c r="E65" s="174"/>
      <c r="F65" s="175"/>
      <c r="G65" s="175"/>
      <c r="H65" s="175"/>
      <c r="I65" s="175"/>
      <c r="J65" s="175"/>
      <c r="K65" s="175"/>
      <c r="L65" s="175">
        <f t="shared" si="20"/>
        <v>0</v>
      </c>
      <c r="M65" s="176"/>
      <c r="N65" s="176"/>
      <c r="O65" s="176"/>
      <c r="P65" s="176"/>
      <c r="Q65" s="176"/>
      <c r="R65" s="176"/>
      <c r="S65" s="176">
        <f t="shared" si="21"/>
        <v>0</v>
      </c>
      <c r="T65" s="177">
        <v>0</v>
      </c>
      <c r="U65" s="177">
        <v>12</v>
      </c>
      <c r="V65" s="178">
        <v>18</v>
      </c>
      <c r="W65" s="178">
        <v>23</v>
      </c>
      <c r="X65" s="178">
        <v>17</v>
      </c>
      <c r="Y65" s="179">
        <v>18</v>
      </c>
      <c r="Z65" s="178">
        <v>0</v>
      </c>
      <c r="AA65" s="136">
        <f t="shared" si="22"/>
        <v>88</v>
      </c>
      <c r="AB65" s="180">
        <v>22</v>
      </c>
      <c r="AC65" s="180">
        <v>31</v>
      </c>
      <c r="AD65" s="180">
        <v>33</v>
      </c>
      <c r="AE65" s="180">
        <v>35</v>
      </c>
      <c r="AF65" s="181">
        <v>17</v>
      </c>
      <c r="AG65" s="180">
        <v>0</v>
      </c>
      <c r="AH65" s="139">
        <f t="shared" si="23"/>
        <v>138</v>
      </c>
      <c r="AI65" s="144" t="s">
        <v>541</v>
      </c>
      <c r="AJ65" s="141">
        <v>37.5</v>
      </c>
      <c r="AK65" s="141">
        <v>135</v>
      </c>
      <c r="AL65" s="142">
        <f t="shared" si="24"/>
        <v>172.5</v>
      </c>
      <c r="AM65" s="51">
        <f t="shared" si="25"/>
        <v>0</v>
      </c>
      <c r="AN65" s="51">
        <f t="shared" si="26"/>
        <v>2070</v>
      </c>
      <c r="AO65" s="51">
        <f t="shared" si="27"/>
        <v>3105</v>
      </c>
      <c r="AP65" s="51">
        <f t="shared" si="28"/>
        <v>3967.5</v>
      </c>
      <c r="AQ65" s="51">
        <f t="shared" si="29"/>
        <v>2932.5</v>
      </c>
      <c r="AR65" s="51">
        <f t="shared" si="30"/>
        <v>3105</v>
      </c>
      <c r="AS65" s="51">
        <f t="shared" si="31"/>
        <v>0</v>
      </c>
      <c r="AT65" s="51">
        <f t="shared" si="39"/>
        <v>15180</v>
      </c>
      <c r="AU65" s="54">
        <f t="shared" si="32"/>
        <v>3795</v>
      </c>
      <c r="AV65" s="54">
        <f t="shared" si="33"/>
        <v>5347.5</v>
      </c>
      <c r="AW65" s="54">
        <f t="shared" si="34"/>
        <v>5692.5</v>
      </c>
      <c r="AX65" s="54">
        <f t="shared" si="35"/>
        <v>6037.5</v>
      </c>
      <c r="AY65" s="54">
        <f t="shared" si="36"/>
        <v>2932.5</v>
      </c>
      <c r="AZ65" s="54">
        <f t="shared" si="37"/>
        <v>0</v>
      </c>
      <c r="BA65" s="54">
        <f t="shared" si="38"/>
        <v>23805</v>
      </c>
      <c r="BB65" s="128"/>
    </row>
    <row r="66" spans="1:54">
      <c r="A66" s="170">
        <v>50</v>
      </c>
      <c r="B66" s="171" t="s">
        <v>595</v>
      </c>
      <c r="C66" s="172"/>
      <c r="D66" s="173"/>
      <c r="E66" s="174"/>
      <c r="F66" s="175"/>
      <c r="G66" s="175"/>
      <c r="H66" s="175"/>
      <c r="I66" s="175"/>
      <c r="J66" s="175"/>
      <c r="K66" s="175"/>
      <c r="L66" s="175">
        <f t="shared" si="20"/>
        <v>0</v>
      </c>
      <c r="M66" s="176"/>
      <c r="N66" s="176"/>
      <c r="O66" s="176"/>
      <c r="P66" s="176"/>
      <c r="Q66" s="176"/>
      <c r="R66" s="176"/>
      <c r="S66" s="176">
        <f t="shared" si="21"/>
        <v>0</v>
      </c>
      <c r="T66" s="177">
        <v>0</v>
      </c>
      <c r="U66" s="177">
        <v>7</v>
      </c>
      <c r="V66" s="178">
        <v>20</v>
      </c>
      <c r="W66" s="178">
        <v>13</v>
      </c>
      <c r="X66" s="178">
        <v>15</v>
      </c>
      <c r="Y66" s="179">
        <v>13</v>
      </c>
      <c r="Z66" s="178">
        <v>0</v>
      </c>
      <c r="AA66" s="136">
        <f t="shared" si="22"/>
        <v>68</v>
      </c>
      <c r="AB66" s="180">
        <v>11</v>
      </c>
      <c r="AC66" s="180">
        <v>9</v>
      </c>
      <c r="AD66" s="180">
        <v>8</v>
      </c>
      <c r="AE66" s="180">
        <v>6</v>
      </c>
      <c r="AF66" s="181">
        <v>8</v>
      </c>
      <c r="AG66" s="180">
        <v>0</v>
      </c>
      <c r="AH66" s="139">
        <f t="shared" si="23"/>
        <v>42</v>
      </c>
      <c r="AI66" s="144" t="s">
        <v>541</v>
      </c>
      <c r="AJ66" s="141">
        <v>62.5</v>
      </c>
      <c r="AK66" s="141">
        <v>210</v>
      </c>
      <c r="AL66" s="142">
        <f t="shared" si="24"/>
        <v>272.5</v>
      </c>
      <c r="AM66" s="51">
        <f t="shared" si="25"/>
        <v>0</v>
      </c>
      <c r="AN66" s="51">
        <f t="shared" si="26"/>
        <v>1907.5</v>
      </c>
      <c r="AO66" s="51">
        <f t="shared" si="27"/>
        <v>5450</v>
      </c>
      <c r="AP66" s="51">
        <f t="shared" si="28"/>
        <v>3542.5</v>
      </c>
      <c r="AQ66" s="51">
        <f t="shared" si="29"/>
        <v>4087.5</v>
      </c>
      <c r="AR66" s="51">
        <f t="shared" si="30"/>
        <v>3542.5</v>
      </c>
      <c r="AS66" s="51">
        <f t="shared" si="31"/>
        <v>0</v>
      </c>
      <c r="AT66" s="51">
        <f t="shared" si="39"/>
        <v>18530</v>
      </c>
      <c r="AU66" s="54">
        <f t="shared" si="32"/>
        <v>2997.5</v>
      </c>
      <c r="AV66" s="54">
        <f t="shared" si="33"/>
        <v>2452.5</v>
      </c>
      <c r="AW66" s="54">
        <f t="shared" si="34"/>
        <v>2180</v>
      </c>
      <c r="AX66" s="54">
        <f t="shared" si="35"/>
        <v>1635</v>
      </c>
      <c r="AY66" s="54">
        <f t="shared" si="36"/>
        <v>2180</v>
      </c>
      <c r="AZ66" s="54">
        <f t="shared" si="37"/>
        <v>0</v>
      </c>
      <c r="BA66" s="54">
        <f t="shared" si="38"/>
        <v>11445</v>
      </c>
      <c r="BB66" s="128"/>
    </row>
    <row r="67" spans="1:54">
      <c r="A67" s="170">
        <v>51</v>
      </c>
      <c r="B67" s="171" t="s">
        <v>596</v>
      </c>
      <c r="C67" s="172"/>
      <c r="D67" s="173"/>
      <c r="E67" s="174"/>
      <c r="F67" s="175"/>
      <c r="G67" s="175"/>
      <c r="H67" s="175"/>
      <c r="I67" s="175"/>
      <c r="J67" s="175"/>
      <c r="K67" s="175"/>
      <c r="L67" s="175">
        <f t="shared" si="20"/>
        <v>0</v>
      </c>
      <c r="M67" s="176"/>
      <c r="N67" s="176"/>
      <c r="O67" s="176"/>
      <c r="P67" s="176"/>
      <c r="Q67" s="176"/>
      <c r="R67" s="176"/>
      <c r="S67" s="176">
        <f t="shared" si="21"/>
        <v>0</v>
      </c>
      <c r="T67" s="177">
        <v>0</v>
      </c>
      <c r="U67" s="177">
        <v>11.661</v>
      </c>
      <c r="V67" s="178">
        <v>11.661</v>
      </c>
      <c r="W67" s="178">
        <v>11.661</v>
      </c>
      <c r="X67" s="178">
        <v>11.661</v>
      </c>
      <c r="Y67" s="179">
        <v>0</v>
      </c>
      <c r="Z67" s="178">
        <v>0</v>
      </c>
      <c r="AA67" s="136">
        <f t="shared" si="22"/>
        <v>46.643999999999998</v>
      </c>
      <c r="AB67" s="180">
        <v>11.177999999999999</v>
      </c>
      <c r="AC67" s="180">
        <v>15.077879999999999</v>
      </c>
      <c r="AD67" s="180">
        <v>15.077879999999999</v>
      </c>
      <c r="AE67" s="180">
        <v>33.592879999999994</v>
      </c>
      <c r="AF67" s="181">
        <v>11.177999999999999</v>
      </c>
      <c r="AG67" s="180">
        <v>0</v>
      </c>
      <c r="AH67" s="139">
        <f t="shared" si="23"/>
        <v>86.104639999999989</v>
      </c>
      <c r="AI67" s="144" t="s">
        <v>597</v>
      </c>
      <c r="AJ67" s="141">
        <v>81.25</v>
      </c>
      <c r="AK67" s="141">
        <v>37.5</v>
      </c>
      <c r="AL67" s="142">
        <f t="shared" si="24"/>
        <v>118.75</v>
      </c>
      <c r="AM67" s="51">
        <f t="shared" si="25"/>
        <v>0</v>
      </c>
      <c r="AN67" s="51">
        <f t="shared" si="26"/>
        <v>1384.7437499999999</v>
      </c>
      <c r="AO67" s="51">
        <f t="shared" si="27"/>
        <v>1384.7437499999999</v>
      </c>
      <c r="AP67" s="51">
        <f t="shared" si="28"/>
        <v>1384.7437499999999</v>
      </c>
      <c r="AQ67" s="51">
        <f t="shared" si="29"/>
        <v>1384.7437499999999</v>
      </c>
      <c r="AR67" s="51">
        <f t="shared" si="30"/>
        <v>0</v>
      </c>
      <c r="AS67" s="51">
        <f t="shared" si="31"/>
        <v>0</v>
      </c>
      <c r="AT67" s="51">
        <f t="shared" si="39"/>
        <v>5538.9749999999995</v>
      </c>
      <c r="AU67" s="54">
        <f t="shared" si="32"/>
        <v>1327.3874999999998</v>
      </c>
      <c r="AV67" s="54">
        <f t="shared" si="33"/>
        <v>1790.4982499999999</v>
      </c>
      <c r="AW67" s="54">
        <f t="shared" si="34"/>
        <v>1790.4982499999999</v>
      </c>
      <c r="AX67" s="54">
        <f t="shared" si="35"/>
        <v>3989.1544999999992</v>
      </c>
      <c r="AY67" s="54">
        <f t="shared" si="36"/>
        <v>1327.3874999999998</v>
      </c>
      <c r="AZ67" s="54">
        <f t="shared" si="37"/>
        <v>0</v>
      </c>
      <c r="BA67" s="54">
        <f t="shared" si="38"/>
        <v>10224.925999999999</v>
      </c>
      <c r="BB67" s="128"/>
    </row>
    <row r="68" spans="1:54">
      <c r="A68" s="170">
        <v>52</v>
      </c>
      <c r="B68" s="171" t="s">
        <v>598</v>
      </c>
      <c r="C68" s="172"/>
      <c r="D68" s="173" t="s">
        <v>599</v>
      </c>
      <c r="E68" s="174"/>
      <c r="F68" s="175"/>
      <c r="G68" s="175"/>
      <c r="H68" s="175"/>
      <c r="I68" s="175"/>
      <c r="J68" s="175"/>
      <c r="K68" s="175"/>
      <c r="L68" s="175">
        <f t="shared" si="20"/>
        <v>0</v>
      </c>
      <c r="M68" s="176"/>
      <c r="N68" s="176"/>
      <c r="O68" s="176"/>
      <c r="P68" s="176"/>
      <c r="Q68" s="176"/>
      <c r="R68" s="176"/>
      <c r="S68" s="176">
        <f t="shared" si="21"/>
        <v>0</v>
      </c>
      <c r="T68" s="177">
        <v>0</v>
      </c>
      <c r="U68" s="177">
        <v>5</v>
      </c>
      <c r="V68" s="178">
        <v>2</v>
      </c>
      <c r="W68" s="178">
        <v>6</v>
      </c>
      <c r="X68" s="178">
        <v>6</v>
      </c>
      <c r="Y68" s="179">
        <v>6</v>
      </c>
      <c r="Z68" s="178">
        <v>0</v>
      </c>
      <c r="AA68" s="136">
        <f t="shared" si="22"/>
        <v>25</v>
      </c>
      <c r="AB68" s="180">
        <v>4</v>
      </c>
      <c r="AC68" s="180">
        <v>1</v>
      </c>
      <c r="AD68" s="180">
        <v>2</v>
      </c>
      <c r="AE68" s="180">
        <v>4</v>
      </c>
      <c r="AF68" s="181">
        <v>2</v>
      </c>
      <c r="AG68" s="180">
        <v>0</v>
      </c>
      <c r="AH68" s="139">
        <f t="shared" si="23"/>
        <v>13</v>
      </c>
      <c r="AI68" s="144" t="s">
        <v>572</v>
      </c>
      <c r="AJ68" s="141">
        <v>150</v>
      </c>
      <c r="AK68" s="141">
        <v>420</v>
      </c>
      <c r="AL68" s="142">
        <f t="shared" si="24"/>
        <v>570</v>
      </c>
      <c r="AM68" s="51">
        <f t="shared" si="25"/>
        <v>0</v>
      </c>
      <c r="AN68" s="51">
        <f t="shared" si="26"/>
        <v>2850</v>
      </c>
      <c r="AO68" s="51">
        <f t="shared" si="27"/>
        <v>1140</v>
      </c>
      <c r="AP68" s="51">
        <f t="shared" si="28"/>
        <v>3420</v>
      </c>
      <c r="AQ68" s="51">
        <f t="shared" si="29"/>
        <v>3420</v>
      </c>
      <c r="AR68" s="51">
        <f t="shared" si="30"/>
        <v>3420</v>
      </c>
      <c r="AS68" s="51">
        <f t="shared" si="31"/>
        <v>0</v>
      </c>
      <c r="AT68" s="51">
        <f t="shared" si="39"/>
        <v>14250</v>
      </c>
      <c r="AU68" s="54">
        <f t="shared" si="32"/>
        <v>2280</v>
      </c>
      <c r="AV68" s="54">
        <f t="shared" si="33"/>
        <v>570</v>
      </c>
      <c r="AW68" s="54">
        <f t="shared" si="34"/>
        <v>1140</v>
      </c>
      <c r="AX68" s="54">
        <f t="shared" si="35"/>
        <v>2280</v>
      </c>
      <c r="AY68" s="54">
        <f t="shared" si="36"/>
        <v>1140</v>
      </c>
      <c r="AZ68" s="54">
        <f t="shared" si="37"/>
        <v>0</v>
      </c>
      <c r="BA68" s="54">
        <f t="shared" si="38"/>
        <v>7410</v>
      </c>
      <c r="BB68" s="128"/>
    </row>
    <row r="69" spans="1:54">
      <c r="A69" s="170">
        <v>53</v>
      </c>
      <c r="B69" s="171" t="s">
        <v>600</v>
      </c>
      <c r="C69" s="172"/>
      <c r="D69" s="173" t="s">
        <v>599</v>
      </c>
      <c r="E69" s="174"/>
      <c r="F69" s="175"/>
      <c r="G69" s="175"/>
      <c r="H69" s="175"/>
      <c r="I69" s="175"/>
      <c r="J69" s="175"/>
      <c r="K69" s="175"/>
      <c r="L69" s="175">
        <f t="shared" si="20"/>
        <v>0</v>
      </c>
      <c r="M69" s="176"/>
      <c r="N69" s="176"/>
      <c r="O69" s="176"/>
      <c r="P69" s="176"/>
      <c r="Q69" s="176"/>
      <c r="R69" s="176"/>
      <c r="S69" s="176">
        <f t="shared" si="21"/>
        <v>0</v>
      </c>
      <c r="T69" s="177">
        <v>0</v>
      </c>
      <c r="U69" s="177">
        <v>0</v>
      </c>
      <c r="V69" s="178">
        <v>2</v>
      </c>
      <c r="W69" s="178">
        <v>0</v>
      </c>
      <c r="X69" s="178">
        <v>1</v>
      </c>
      <c r="Y69" s="179">
        <v>1</v>
      </c>
      <c r="Z69" s="178">
        <v>0</v>
      </c>
      <c r="AA69" s="136">
        <f t="shared" si="22"/>
        <v>4</v>
      </c>
      <c r="AB69" s="180">
        <v>0</v>
      </c>
      <c r="AC69" s="180">
        <v>0</v>
      </c>
      <c r="AD69" s="180">
        <v>0</v>
      </c>
      <c r="AE69" s="180">
        <v>0</v>
      </c>
      <c r="AF69" s="181">
        <v>0</v>
      </c>
      <c r="AG69" s="180">
        <v>0</v>
      </c>
      <c r="AH69" s="139">
        <f t="shared" si="23"/>
        <v>0</v>
      </c>
      <c r="AI69" s="144" t="s">
        <v>572</v>
      </c>
      <c r="AJ69" s="141">
        <v>200</v>
      </c>
      <c r="AK69" s="141">
        <v>540</v>
      </c>
      <c r="AL69" s="142">
        <f t="shared" si="24"/>
        <v>740</v>
      </c>
      <c r="AM69" s="51">
        <f t="shared" si="25"/>
        <v>0</v>
      </c>
      <c r="AN69" s="51">
        <f t="shared" si="26"/>
        <v>0</v>
      </c>
      <c r="AO69" s="51">
        <f t="shared" si="27"/>
        <v>1480</v>
      </c>
      <c r="AP69" s="51">
        <f t="shared" si="28"/>
        <v>0</v>
      </c>
      <c r="AQ69" s="51">
        <f t="shared" si="29"/>
        <v>740</v>
      </c>
      <c r="AR69" s="51">
        <f t="shared" si="30"/>
        <v>740</v>
      </c>
      <c r="AS69" s="51">
        <f t="shared" si="31"/>
        <v>0</v>
      </c>
      <c r="AT69" s="51">
        <f t="shared" si="39"/>
        <v>2960</v>
      </c>
      <c r="AU69" s="54">
        <f t="shared" si="32"/>
        <v>0</v>
      </c>
      <c r="AV69" s="54">
        <f t="shared" si="33"/>
        <v>0</v>
      </c>
      <c r="AW69" s="54">
        <f t="shared" si="34"/>
        <v>0</v>
      </c>
      <c r="AX69" s="54">
        <f t="shared" si="35"/>
        <v>0</v>
      </c>
      <c r="AY69" s="54">
        <f t="shared" si="36"/>
        <v>0</v>
      </c>
      <c r="AZ69" s="54">
        <f t="shared" si="37"/>
        <v>0</v>
      </c>
      <c r="BA69" s="54">
        <f t="shared" si="38"/>
        <v>0</v>
      </c>
      <c r="BB69" s="128"/>
    </row>
    <row r="70" spans="1:54">
      <c r="A70" s="170">
        <v>54</v>
      </c>
      <c r="B70" s="171" t="s">
        <v>601</v>
      </c>
      <c r="C70" s="172"/>
      <c r="D70" s="173" t="s">
        <v>599</v>
      </c>
      <c r="E70" s="174"/>
      <c r="F70" s="175"/>
      <c r="G70" s="175"/>
      <c r="H70" s="175"/>
      <c r="I70" s="175"/>
      <c r="J70" s="175"/>
      <c r="K70" s="175"/>
      <c r="L70" s="175">
        <f t="shared" si="20"/>
        <v>0</v>
      </c>
      <c r="M70" s="176"/>
      <c r="N70" s="176"/>
      <c r="O70" s="176"/>
      <c r="P70" s="176"/>
      <c r="Q70" s="176"/>
      <c r="R70" s="176"/>
      <c r="S70" s="176">
        <f t="shared" si="21"/>
        <v>0</v>
      </c>
      <c r="T70" s="177">
        <v>0</v>
      </c>
      <c r="U70" s="177">
        <v>0</v>
      </c>
      <c r="V70" s="178">
        <v>3</v>
      </c>
      <c r="W70" s="178">
        <v>0</v>
      </c>
      <c r="X70" s="178">
        <v>3</v>
      </c>
      <c r="Y70" s="179">
        <v>1</v>
      </c>
      <c r="Z70" s="178">
        <v>0</v>
      </c>
      <c r="AA70" s="136">
        <f t="shared" si="22"/>
        <v>7</v>
      </c>
      <c r="AB70" s="180">
        <v>0</v>
      </c>
      <c r="AC70" s="180">
        <v>0</v>
      </c>
      <c r="AD70" s="180">
        <v>0</v>
      </c>
      <c r="AE70" s="180">
        <v>0</v>
      </c>
      <c r="AF70" s="181">
        <v>0</v>
      </c>
      <c r="AG70" s="180">
        <v>0</v>
      </c>
      <c r="AH70" s="139">
        <f t="shared" si="23"/>
        <v>0</v>
      </c>
      <c r="AI70" s="144" t="s">
        <v>572</v>
      </c>
      <c r="AJ70" s="141">
        <v>62.5</v>
      </c>
      <c r="AK70" s="141">
        <v>164.00000000000003</v>
      </c>
      <c r="AL70" s="142">
        <f t="shared" si="24"/>
        <v>226.50000000000003</v>
      </c>
      <c r="AM70" s="51">
        <f t="shared" si="25"/>
        <v>0</v>
      </c>
      <c r="AN70" s="51">
        <f t="shared" si="26"/>
        <v>0</v>
      </c>
      <c r="AO70" s="51">
        <f t="shared" si="27"/>
        <v>679.50000000000011</v>
      </c>
      <c r="AP70" s="51">
        <f t="shared" si="28"/>
        <v>0</v>
      </c>
      <c r="AQ70" s="51">
        <f t="shared" si="29"/>
        <v>679.50000000000011</v>
      </c>
      <c r="AR70" s="51">
        <f t="shared" si="30"/>
        <v>226.50000000000003</v>
      </c>
      <c r="AS70" s="51">
        <f t="shared" si="31"/>
        <v>0</v>
      </c>
      <c r="AT70" s="51">
        <f t="shared" si="39"/>
        <v>1585.5000000000002</v>
      </c>
      <c r="AU70" s="54">
        <f t="shared" si="32"/>
        <v>0</v>
      </c>
      <c r="AV70" s="54">
        <f t="shared" si="33"/>
        <v>0</v>
      </c>
      <c r="AW70" s="54">
        <f t="shared" si="34"/>
        <v>0</v>
      </c>
      <c r="AX70" s="54">
        <f t="shared" si="35"/>
        <v>0</v>
      </c>
      <c r="AY70" s="54">
        <f t="shared" si="36"/>
        <v>0</v>
      </c>
      <c r="AZ70" s="54">
        <f t="shared" si="37"/>
        <v>0</v>
      </c>
      <c r="BA70" s="54">
        <f t="shared" si="38"/>
        <v>0</v>
      </c>
      <c r="BB70" s="128"/>
    </row>
    <row r="71" spans="1:54">
      <c r="A71" s="170">
        <v>55</v>
      </c>
      <c r="B71" s="171" t="s">
        <v>602</v>
      </c>
      <c r="C71" s="172"/>
      <c r="D71" s="173" t="s">
        <v>599</v>
      </c>
      <c r="E71" s="174"/>
      <c r="F71" s="175"/>
      <c r="G71" s="175"/>
      <c r="H71" s="175"/>
      <c r="I71" s="175"/>
      <c r="J71" s="175"/>
      <c r="K71" s="175"/>
      <c r="L71" s="175">
        <f t="shared" si="20"/>
        <v>0</v>
      </c>
      <c r="M71" s="176"/>
      <c r="N71" s="176"/>
      <c r="O71" s="176"/>
      <c r="P71" s="176"/>
      <c r="Q71" s="176"/>
      <c r="R71" s="176"/>
      <c r="S71" s="176">
        <f t="shared" si="21"/>
        <v>0</v>
      </c>
      <c r="T71" s="177">
        <v>0</v>
      </c>
      <c r="U71" s="177">
        <v>14</v>
      </c>
      <c r="V71" s="178">
        <v>14</v>
      </c>
      <c r="W71" s="178">
        <v>13</v>
      </c>
      <c r="X71" s="178">
        <v>10</v>
      </c>
      <c r="Y71" s="179">
        <v>15</v>
      </c>
      <c r="Z71" s="178">
        <v>0</v>
      </c>
      <c r="AA71" s="136">
        <f t="shared" si="22"/>
        <v>66</v>
      </c>
      <c r="AB71" s="180">
        <v>17</v>
      </c>
      <c r="AC71" s="180">
        <v>24</v>
      </c>
      <c r="AD71" s="180">
        <v>24</v>
      </c>
      <c r="AE71" s="180">
        <v>23</v>
      </c>
      <c r="AF71" s="181">
        <v>20</v>
      </c>
      <c r="AG71" s="180">
        <v>0</v>
      </c>
      <c r="AH71" s="139">
        <f t="shared" si="23"/>
        <v>108</v>
      </c>
      <c r="AI71" s="144" t="s">
        <v>572</v>
      </c>
      <c r="AJ71" s="141">
        <v>68.75</v>
      </c>
      <c r="AK71" s="141">
        <v>325</v>
      </c>
      <c r="AL71" s="142">
        <f t="shared" si="24"/>
        <v>393.75</v>
      </c>
      <c r="AM71" s="51">
        <f t="shared" si="25"/>
        <v>0</v>
      </c>
      <c r="AN71" s="51">
        <f t="shared" si="26"/>
        <v>5512.5</v>
      </c>
      <c r="AO71" s="51">
        <f t="shared" si="27"/>
        <v>5512.5</v>
      </c>
      <c r="AP71" s="51">
        <f t="shared" si="28"/>
        <v>5118.75</v>
      </c>
      <c r="AQ71" s="51">
        <f t="shared" si="29"/>
        <v>3937.5</v>
      </c>
      <c r="AR71" s="51">
        <f t="shared" si="30"/>
        <v>5906.25</v>
      </c>
      <c r="AS71" s="51">
        <f t="shared" si="31"/>
        <v>0</v>
      </c>
      <c r="AT71" s="51">
        <f t="shared" si="39"/>
        <v>25987.5</v>
      </c>
      <c r="AU71" s="54">
        <f t="shared" si="32"/>
        <v>6693.75</v>
      </c>
      <c r="AV71" s="54">
        <f t="shared" si="33"/>
        <v>9450</v>
      </c>
      <c r="AW71" s="54">
        <f t="shared" si="34"/>
        <v>9450</v>
      </c>
      <c r="AX71" s="54">
        <f t="shared" si="35"/>
        <v>9056.25</v>
      </c>
      <c r="AY71" s="54">
        <f t="shared" si="36"/>
        <v>7875</v>
      </c>
      <c r="AZ71" s="54">
        <f t="shared" si="37"/>
        <v>0</v>
      </c>
      <c r="BA71" s="54">
        <f t="shared" si="38"/>
        <v>42525</v>
      </c>
      <c r="BB71" s="128"/>
    </row>
    <row r="72" spans="1:54">
      <c r="A72" s="170">
        <v>56</v>
      </c>
      <c r="B72" s="171" t="s">
        <v>603</v>
      </c>
      <c r="C72" s="172"/>
      <c r="D72" s="173" t="s">
        <v>599</v>
      </c>
      <c r="E72" s="174"/>
      <c r="F72" s="175"/>
      <c r="G72" s="175"/>
      <c r="H72" s="175"/>
      <c r="I72" s="175"/>
      <c r="J72" s="175"/>
      <c r="K72" s="175"/>
      <c r="L72" s="175">
        <f t="shared" si="20"/>
        <v>0</v>
      </c>
      <c r="M72" s="176"/>
      <c r="N72" s="176"/>
      <c r="O72" s="176"/>
      <c r="P72" s="176"/>
      <c r="Q72" s="176"/>
      <c r="R72" s="176"/>
      <c r="S72" s="176">
        <f t="shared" si="21"/>
        <v>0</v>
      </c>
      <c r="T72" s="177">
        <v>0</v>
      </c>
      <c r="U72" s="177">
        <v>0</v>
      </c>
      <c r="V72" s="178">
        <v>0</v>
      </c>
      <c r="W72" s="178">
        <v>0</v>
      </c>
      <c r="X72" s="178">
        <v>0</v>
      </c>
      <c r="Y72" s="179">
        <v>0</v>
      </c>
      <c r="Z72" s="178">
        <v>0</v>
      </c>
      <c r="AA72" s="136">
        <f t="shared" si="22"/>
        <v>0</v>
      </c>
      <c r="AB72" s="180">
        <v>1</v>
      </c>
      <c r="AC72" s="180">
        <v>0</v>
      </c>
      <c r="AD72" s="180">
        <v>2</v>
      </c>
      <c r="AE72" s="180">
        <v>0</v>
      </c>
      <c r="AF72" s="181">
        <v>0</v>
      </c>
      <c r="AG72" s="180">
        <v>0</v>
      </c>
      <c r="AH72" s="139">
        <f t="shared" si="23"/>
        <v>3</v>
      </c>
      <c r="AI72" s="144" t="s">
        <v>572</v>
      </c>
      <c r="AJ72" s="141">
        <v>162.5</v>
      </c>
      <c r="AK72" s="141">
        <v>468.00000000000006</v>
      </c>
      <c r="AL72" s="142">
        <f t="shared" si="24"/>
        <v>630.5</v>
      </c>
      <c r="AM72" s="51">
        <f t="shared" si="25"/>
        <v>0</v>
      </c>
      <c r="AN72" s="51">
        <f t="shared" si="26"/>
        <v>0</v>
      </c>
      <c r="AO72" s="51">
        <f t="shared" si="27"/>
        <v>0</v>
      </c>
      <c r="AP72" s="51">
        <f t="shared" si="28"/>
        <v>0</v>
      </c>
      <c r="AQ72" s="51">
        <f t="shared" si="29"/>
        <v>0</v>
      </c>
      <c r="AR72" s="51">
        <f t="shared" si="30"/>
        <v>0</v>
      </c>
      <c r="AS72" s="51">
        <f t="shared" si="31"/>
        <v>0</v>
      </c>
      <c r="AT72" s="51">
        <f t="shared" si="39"/>
        <v>0</v>
      </c>
      <c r="AU72" s="54">
        <f t="shared" si="32"/>
        <v>630.5</v>
      </c>
      <c r="AV72" s="54">
        <f t="shared" si="33"/>
        <v>0</v>
      </c>
      <c r="AW72" s="54">
        <f t="shared" si="34"/>
        <v>1261</v>
      </c>
      <c r="AX72" s="54">
        <f t="shared" si="35"/>
        <v>0</v>
      </c>
      <c r="AY72" s="54">
        <f t="shared" si="36"/>
        <v>0</v>
      </c>
      <c r="AZ72" s="54">
        <f t="shared" si="37"/>
        <v>0</v>
      </c>
      <c r="BA72" s="54">
        <f t="shared" si="38"/>
        <v>1891.5</v>
      </c>
      <c r="BB72" s="128"/>
    </row>
    <row r="73" spans="1:54">
      <c r="A73" s="170">
        <v>57</v>
      </c>
      <c r="B73" s="171" t="s">
        <v>604</v>
      </c>
      <c r="C73" s="172"/>
      <c r="D73" s="173" t="s">
        <v>599</v>
      </c>
      <c r="E73" s="174"/>
      <c r="F73" s="175"/>
      <c r="G73" s="175"/>
      <c r="H73" s="175"/>
      <c r="I73" s="175"/>
      <c r="J73" s="175"/>
      <c r="K73" s="175"/>
      <c r="L73" s="175">
        <f t="shared" si="20"/>
        <v>0</v>
      </c>
      <c r="M73" s="176"/>
      <c r="N73" s="176"/>
      <c r="O73" s="176"/>
      <c r="P73" s="176"/>
      <c r="Q73" s="176"/>
      <c r="R73" s="176"/>
      <c r="S73" s="176">
        <f t="shared" si="21"/>
        <v>0</v>
      </c>
      <c r="T73" s="177">
        <v>0</v>
      </c>
      <c r="U73" s="177">
        <v>0</v>
      </c>
      <c r="V73" s="178">
        <v>0</v>
      </c>
      <c r="W73" s="178">
        <v>0</v>
      </c>
      <c r="X73" s="178">
        <v>0</v>
      </c>
      <c r="Y73" s="179">
        <v>0</v>
      </c>
      <c r="Z73" s="178">
        <v>0</v>
      </c>
      <c r="AA73" s="136">
        <f t="shared" si="22"/>
        <v>0</v>
      </c>
      <c r="AB73" s="180">
        <v>0</v>
      </c>
      <c r="AC73" s="180">
        <v>0</v>
      </c>
      <c r="AD73" s="180">
        <v>0</v>
      </c>
      <c r="AE73" s="180">
        <v>0</v>
      </c>
      <c r="AF73" s="181">
        <v>1</v>
      </c>
      <c r="AG73" s="180">
        <v>0</v>
      </c>
      <c r="AH73" s="139">
        <f t="shared" si="23"/>
        <v>1</v>
      </c>
      <c r="AI73" s="144" t="s">
        <v>572</v>
      </c>
      <c r="AJ73" s="141">
        <v>100</v>
      </c>
      <c r="AK73" s="141">
        <v>320</v>
      </c>
      <c r="AL73" s="142">
        <f t="shared" si="24"/>
        <v>420</v>
      </c>
      <c r="AM73" s="51">
        <f t="shared" si="25"/>
        <v>0</v>
      </c>
      <c r="AN73" s="51">
        <f t="shared" si="26"/>
        <v>0</v>
      </c>
      <c r="AO73" s="51">
        <f t="shared" si="27"/>
        <v>0</v>
      </c>
      <c r="AP73" s="51">
        <f t="shared" si="28"/>
        <v>0</v>
      </c>
      <c r="AQ73" s="51">
        <f t="shared" si="29"/>
        <v>0</v>
      </c>
      <c r="AR73" s="51">
        <f t="shared" si="30"/>
        <v>0</v>
      </c>
      <c r="AS73" s="51">
        <f t="shared" si="31"/>
        <v>0</v>
      </c>
      <c r="AT73" s="51">
        <f t="shared" si="39"/>
        <v>0</v>
      </c>
      <c r="AU73" s="54">
        <f t="shared" si="32"/>
        <v>0</v>
      </c>
      <c r="AV73" s="54">
        <f t="shared" si="33"/>
        <v>0</v>
      </c>
      <c r="AW73" s="54">
        <f t="shared" si="34"/>
        <v>0</v>
      </c>
      <c r="AX73" s="54">
        <f t="shared" si="35"/>
        <v>0</v>
      </c>
      <c r="AY73" s="54">
        <f t="shared" si="36"/>
        <v>420</v>
      </c>
      <c r="AZ73" s="54">
        <f t="shared" si="37"/>
        <v>0</v>
      </c>
      <c r="BA73" s="54">
        <f t="shared" si="38"/>
        <v>420</v>
      </c>
      <c r="BB73" s="128"/>
    </row>
    <row r="74" spans="1:54">
      <c r="A74" s="170">
        <v>58</v>
      </c>
      <c r="B74" s="171" t="s">
        <v>605</v>
      </c>
      <c r="C74" s="172"/>
      <c r="D74" s="173" t="s">
        <v>599</v>
      </c>
      <c r="E74" s="174"/>
      <c r="F74" s="175"/>
      <c r="G74" s="175"/>
      <c r="H74" s="175"/>
      <c r="I74" s="175"/>
      <c r="J74" s="175"/>
      <c r="K74" s="175"/>
      <c r="L74" s="175">
        <f t="shared" si="20"/>
        <v>0</v>
      </c>
      <c r="M74" s="176"/>
      <c r="N74" s="176"/>
      <c r="O74" s="176"/>
      <c r="P74" s="176"/>
      <c r="Q74" s="176"/>
      <c r="R74" s="176"/>
      <c r="S74" s="176">
        <f t="shared" si="21"/>
        <v>0</v>
      </c>
      <c r="T74" s="177">
        <v>0</v>
      </c>
      <c r="U74" s="177">
        <v>242</v>
      </c>
      <c r="V74" s="178">
        <v>311</v>
      </c>
      <c r="W74" s="178">
        <v>374</v>
      </c>
      <c r="X74" s="178">
        <v>343</v>
      </c>
      <c r="Y74" s="179">
        <v>344</v>
      </c>
      <c r="Z74" s="178">
        <v>0</v>
      </c>
      <c r="AA74" s="136">
        <f t="shared" si="22"/>
        <v>1614</v>
      </c>
      <c r="AB74" s="180">
        <v>320.87875000000014</v>
      </c>
      <c r="AC74" s="180">
        <v>354.44150000000002</v>
      </c>
      <c r="AD74" s="180">
        <v>402.46549999999985</v>
      </c>
      <c r="AE74" s="180">
        <v>367.63314999999994</v>
      </c>
      <c r="AF74" s="181">
        <v>328.88274999999993</v>
      </c>
      <c r="AG74" s="180">
        <v>0</v>
      </c>
      <c r="AH74" s="139">
        <f t="shared" si="23"/>
        <v>1774.3016499999999</v>
      </c>
      <c r="AI74" s="144" t="s">
        <v>548</v>
      </c>
      <c r="AJ74" s="141">
        <v>100</v>
      </c>
      <c r="AK74" s="141">
        <v>625</v>
      </c>
      <c r="AL74" s="142">
        <f t="shared" si="24"/>
        <v>725</v>
      </c>
      <c r="AM74" s="51">
        <f t="shared" si="25"/>
        <v>0</v>
      </c>
      <c r="AN74" s="51">
        <f t="shared" si="26"/>
        <v>175450</v>
      </c>
      <c r="AO74" s="51">
        <f t="shared" si="27"/>
        <v>225475</v>
      </c>
      <c r="AP74" s="51">
        <f t="shared" si="28"/>
        <v>271150</v>
      </c>
      <c r="AQ74" s="51">
        <f t="shared" si="29"/>
        <v>248675</v>
      </c>
      <c r="AR74" s="51">
        <f t="shared" si="30"/>
        <v>249400</v>
      </c>
      <c r="AS74" s="51">
        <f t="shared" si="31"/>
        <v>0</v>
      </c>
      <c r="AT74" s="51">
        <f t="shared" si="39"/>
        <v>1170150</v>
      </c>
      <c r="AU74" s="54">
        <f t="shared" si="32"/>
        <v>232637.09375000009</v>
      </c>
      <c r="AV74" s="54">
        <f t="shared" si="33"/>
        <v>256970.08750000002</v>
      </c>
      <c r="AW74" s="54">
        <f t="shared" si="34"/>
        <v>291787.48749999987</v>
      </c>
      <c r="AX74" s="54">
        <f t="shared" si="35"/>
        <v>266534.03374999994</v>
      </c>
      <c r="AY74" s="54">
        <f t="shared" si="36"/>
        <v>238439.99374999994</v>
      </c>
      <c r="AZ74" s="54">
        <f t="shared" si="37"/>
        <v>0</v>
      </c>
      <c r="BA74" s="54">
        <f t="shared" si="38"/>
        <v>1286368.6962499998</v>
      </c>
      <c r="BB74" s="128"/>
    </row>
    <row r="75" spans="1:54">
      <c r="A75" s="170">
        <v>59</v>
      </c>
      <c r="B75" s="171" t="s">
        <v>606</v>
      </c>
      <c r="C75" s="172"/>
      <c r="D75" s="173" t="s">
        <v>599</v>
      </c>
      <c r="E75" s="174"/>
      <c r="F75" s="175"/>
      <c r="G75" s="175"/>
      <c r="H75" s="175"/>
      <c r="I75" s="175"/>
      <c r="J75" s="175"/>
      <c r="K75" s="175"/>
      <c r="L75" s="175">
        <f t="shared" si="20"/>
        <v>0</v>
      </c>
      <c r="M75" s="176"/>
      <c r="N75" s="176"/>
      <c r="O75" s="176"/>
      <c r="P75" s="176"/>
      <c r="Q75" s="176"/>
      <c r="R75" s="176"/>
      <c r="S75" s="176">
        <f t="shared" si="21"/>
        <v>0</v>
      </c>
      <c r="T75" s="177">
        <v>0</v>
      </c>
      <c r="U75" s="177">
        <v>116</v>
      </c>
      <c r="V75" s="178">
        <v>76</v>
      </c>
      <c r="W75" s="178">
        <v>123</v>
      </c>
      <c r="X75" s="178">
        <v>115</v>
      </c>
      <c r="Y75" s="179">
        <v>94</v>
      </c>
      <c r="Z75" s="178">
        <v>0</v>
      </c>
      <c r="AA75" s="136">
        <f t="shared" si="22"/>
        <v>524</v>
      </c>
      <c r="AB75" s="180">
        <v>118.77199999999996</v>
      </c>
      <c r="AC75" s="180">
        <v>137.20074999999997</v>
      </c>
      <c r="AD75" s="180">
        <v>157.76849999999999</v>
      </c>
      <c r="AE75" s="180">
        <v>132.59039999999999</v>
      </c>
      <c r="AF75" s="181">
        <v>101.06199999999997</v>
      </c>
      <c r="AG75" s="180">
        <v>0</v>
      </c>
      <c r="AH75" s="139">
        <f t="shared" si="23"/>
        <v>647.39364999999987</v>
      </c>
      <c r="AI75" s="144" t="s">
        <v>548</v>
      </c>
      <c r="AJ75" s="141">
        <v>68.75</v>
      </c>
      <c r="AK75" s="141">
        <v>250</v>
      </c>
      <c r="AL75" s="142">
        <f t="shared" si="24"/>
        <v>318.75</v>
      </c>
      <c r="AM75" s="51">
        <f t="shared" si="25"/>
        <v>0</v>
      </c>
      <c r="AN75" s="51">
        <f t="shared" si="26"/>
        <v>36975</v>
      </c>
      <c r="AO75" s="51">
        <f t="shared" si="27"/>
        <v>24225</v>
      </c>
      <c r="AP75" s="51">
        <f t="shared" si="28"/>
        <v>39206.25</v>
      </c>
      <c r="AQ75" s="51">
        <f t="shared" si="29"/>
        <v>36656.25</v>
      </c>
      <c r="AR75" s="51">
        <f t="shared" si="30"/>
        <v>29962.5</v>
      </c>
      <c r="AS75" s="51">
        <f t="shared" si="31"/>
        <v>0</v>
      </c>
      <c r="AT75" s="51">
        <f t="shared" si="39"/>
        <v>167025</v>
      </c>
      <c r="AU75" s="54">
        <f t="shared" si="32"/>
        <v>37858.57499999999</v>
      </c>
      <c r="AV75" s="54">
        <f t="shared" si="33"/>
        <v>43732.73906249999</v>
      </c>
      <c r="AW75" s="54">
        <f t="shared" si="34"/>
        <v>50288.709374999999</v>
      </c>
      <c r="AX75" s="54">
        <f t="shared" si="35"/>
        <v>42263.189999999995</v>
      </c>
      <c r="AY75" s="54">
        <f t="shared" si="36"/>
        <v>32213.51249999999</v>
      </c>
      <c r="AZ75" s="54">
        <f t="shared" si="37"/>
        <v>0</v>
      </c>
      <c r="BA75" s="54">
        <f t="shared" si="38"/>
        <v>206356.72593749996</v>
      </c>
      <c r="BB75" s="128"/>
    </row>
    <row r="76" spans="1:54">
      <c r="A76" s="170">
        <v>60</v>
      </c>
      <c r="B76" s="171" t="s">
        <v>607</v>
      </c>
      <c r="C76" s="172"/>
      <c r="D76" s="173" t="s">
        <v>599</v>
      </c>
      <c r="E76" s="174"/>
      <c r="F76" s="175"/>
      <c r="G76" s="175"/>
      <c r="H76" s="175"/>
      <c r="I76" s="175"/>
      <c r="J76" s="175"/>
      <c r="K76" s="175"/>
      <c r="L76" s="175">
        <f t="shared" si="20"/>
        <v>0</v>
      </c>
      <c r="M76" s="176"/>
      <c r="N76" s="176"/>
      <c r="O76" s="176"/>
      <c r="P76" s="176"/>
      <c r="Q76" s="176"/>
      <c r="R76" s="176"/>
      <c r="S76" s="176">
        <f t="shared" si="21"/>
        <v>0</v>
      </c>
      <c r="T76" s="177">
        <v>0</v>
      </c>
      <c r="U76" s="177">
        <v>11</v>
      </c>
      <c r="V76" s="178">
        <v>0</v>
      </c>
      <c r="W76" s="178">
        <v>0</v>
      </c>
      <c r="X76" s="178">
        <v>0</v>
      </c>
      <c r="Y76" s="179">
        <v>0</v>
      </c>
      <c r="Z76" s="178">
        <v>0</v>
      </c>
      <c r="AA76" s="136">
        <f t="shared" si="22"/>
        <v>11</v>
      </c>
      <c r="AB76" s="180">
        <v>3.105</v>
      </c>
      <c r="AC76" s="180">
        <v>3.4729999999999999</v>
      </c>
      <c r="AD76" s="180">
        <v>7.3254999999999999</v>
      </c>
      <c r="AE76" s="180">
        <v>3.4729999999999999</v>
      </c>
      <c r="AF76" s="181">
        <v>3.5074999999999994</v>
      </c>
      <c r="AG76" s="180">
        <v>0</v>
      </c>
      <c r="AH76" s="139">
        <f t="shared" si="23"/>
        <v>20.884</v>
      </c>
      <c r="AI76" s="144" t="s">
        <v>548</v>
      </c>
      <c r="AJ76" s="141">
        <v>112.5</v>
      </c>
      <c r="AK76" s="141">
        <v>400</v>
      </c>
      <c r="AL76" s="142">
        <f t="shared" si="24"/>
        <v>512.5</v>
      </c>
      <c r="AM76" s="51">
        <f t="shared" si="25"/>
        <v>0</v>
      </c>
      <c r="AN76" s="51">
        <f t="shared" si="26"/>
        <v>5637.5</v>
      </c>
      <c r="AO76" s="51">
        <f t="shared" si="27"/>
        <v>0</v>
      </c>
      <c r="AP76" s="51">
        <f t="shared" si="28"/>
        <v>0</v>
      </c>
      <c r="AQ76" s="51">
        <f t="shared" si="29"/>
        <v>0</v>
      </c>
      <c r="AR76" s="51">
        <f t="shared" si="30"/>
        <v>0</v>
      </c>
      <c r="AS76" s="51">
        <f t="shared" si="31"/>
        <v>0</v>
      </c>
      <c r="AT76" s="51">
        <f t="shared" si="39"/>
        <v>5637.5</v>
      </c>
      <c r="AU76" s="54">
        <f t="shared" si="32"/>
        <v>1591.3125</v>
      </c>
      <c r="AV76" s="54">
        <f t="shared" si="33"/>
        <v>1779.9124999999999</v>
      </c>
      <c r="AW76" s="54">
        <f t="shared" si="34"/>
        <v>3754.3187499999999</v>
      </c>
      <c r="AX76" s="54">
        <f t="shared" si="35"/>
        <v>1779.9124999999999</v>
      </c>
      <c r="AY76" s="54">
        <f t="shared" si="36"/>
        <v>1797.5937499999998</v>
      </c>
      <c r="AZ76" s="54">
        <f t="shared" si="37"/>
        <v>0</v>
      </c>
      <c r="BA76" s="54">
        <f t="shared" si="38"/>
        <v>10703.05</v>
      </c>
      <c r="BB76" s="128"/>
    </row>
    <row r="77" spans="1:54">
      <c r="A77" s="170">
        <v>61</v>
      </c>
      <c r="B77" s="171" t="s">
        <v>608</v>
      </c>
      <c r="C77" s="172"/>
      <c r="D77" s="173" t="s">
        <v>599</v>
      </c>
      <c r="E77" s="174"/>
      <c r="F77" s="175"/>
      <c r="G77" s="175"/>
      <c r="H77" s="175"/>
      <c r="I77" s="175"/>
      <c r="J77" s="175"/>
      <c r="K77" s="175"/>
      <c r="L77" s="175">
        <f t="shared" si="20"/>
        <v>0</v>
      </c>
      <c r="M77" s="176"/>
      <c r="N77" s="176"/>
      <c r="O77" s="176"/>
      <c r="P77" s="176"/>
      <c r="Q77" s="176"/>
      <c r="R77" s="176"/>
      <c r="S77" s="176">
        <f t="shared" si="21"/>
        <v>0</v>
      </c>
      <c r="T77" s="177">
        <v>0</v>
      </c>
      <c r="U77" s="177">
        <v>27</v>
      </c>
      <c r="V77" s="178">
        <v>23</v>
      </c>
      <c r="W77" s="178">
        <v>24</v>
      </c>
      <c r="X77" s="178">
        <v>22</v>
      </c>
      <c r="Y77" s="179">
        <v>20</v>
      </c>
      <c r="Z77" s="178">
        <v>0</v>
      </c>
      <c r="AA77" s="136">
        <f t="shared" si="22"/>
        <v>116</v>
      </c>
      <c r="AB77" s="180">
        <v>24</v>
      </c>
      <c r="AC77" s="180">
        <v>23</v>
      </c>
      <c r="AD77" s="180">
        <v>24</v>
      </c>
      <c r="AE77" s="180">
        <v>25</v>
      </c>
      <c r="AF77" s="181">
        <v>19</v>
      </c>
      <c r="AG77" s="180">
        <v>0</v>
      </c>
      <c r="AH77" s="139">
        <f t="shared" si="23"/>
        <v>115</v>
      </c>
      <c r="AI77" s="144" t="s">
        <v>572</v>
      </c>
      <c r="AJ77" s="141">
        <v>125</v>
      </c>
      <c r="AK77" s="141">
        <v>871.25</v>
      </c>
      <c r="AL77" s="142">
        <f t="shared" si="24"/>
        <v>996.25</v>
      </c>
      <c r="AM77" s="51">
        <f t="shared" si="25"/>
        <v>0</v>
      </c>
      <c r="AN77" s="51">
        <f t="shared" si="26"/>
        <v>26898.75</v>
      </c>
      <c r="AO77" s="51">
        <f t="shared" si="27"/>
        <v>22913.75</v>
      </c>
      <c r="AP77" s="51">
        <f t="shared" si="28"/>
        <v>23910</v>
      </c>
      <c r="AQ77" s="51">
        <f t="shared" si="29"/>
        <v>21917.5</v>
      </c>
      <c r="AR77" s="51">
        <f t="shared" si="30"/>
        <v>19925</v>
      </c>
      <c r="AS77" s="51">
        <f t="shared" si="31"/>
        <v>0</v>
      </c>
      <c r="AT77" s="51">
        <f t="shared" si="39"/>
        <v>115565</v>
      </c>
      <c r="AU77" s="54">
        <f t="shared" si="32"/>
        <v>23910</v>
      </c>
      <c r="AV77" s="54">
        <f t="shared" si="33"/>
        <v>22913.75</v>
      </c>
      <c r="AW77" s="54">
        <f t="shared" si="34"/>
        <v>23910</v>
      </c>
      <c r="AX77" s="54">
        <f t="shared" si="35"/>
        <v>24906.25</v>
      </c>
      <c r="AY77" s="54">
        <f t="shared" si="36"/>
        <v>18928.75</v>
      </c>
      <c r="AZ77" s="54">
        <f t="shared" si="37"/>
        <v>0</v>
      </c>
      <c r="BA77" s="54">
        <f t="shared" si="38"/>
        <v>114568.75</v>
      </c>
      <c r="BB77" s="128"/>
    </row>
    <row r="78" spans="1:54">
      <c r="A78" s="170">
        <v>62</v>
      </c>
      <c r="B78" s="171" t="s">
        <v>609</v>
      </c>
      <c r="C78" s="172"/>
      <c r="D78" s="173" t="s">
        <v>599</v>
      </c>
      <c r="E78" s="174"/>
      <c r="F78" s="175"/>
      <c r="G78" s="175"/>
      <c r="H78" s="175"/>
      <c r="I78" s="175"/>
      <c r="J78" s="175"/>
      <c r="K78" s="175"/>
      <c r="L78" s="175">
        <f t="shared" si="20"/>
        <v>0</v>
      </c>
      <c r="M78" s="176"/>
      <c r="N78" s="176"/>
      <c r="O78" s="176"/>
      <c r="P78" s="176"/>
      <c r="Q78" s="176"/>
      <c r="R78" s="176"/>
      <c r="S78" s="176">
        <f t="shared" si="21"/>
        <v>0</v>
      </c>
      <c r="T78" s="177">
        <v>0</v>
      </c>
      <c r="U78" s="177">
        <v>2</v>
      </c>
      <c r="V78" s="178">
        <v>2</v>
      </c>
      <c r="W78" s="178">
        <v>2</v>
      </c>
      <c r="X78" s="178">
        <v>1</v>
      </c>
      <c r="Y78" s="179">
        <v>1</v>
      </c>
      <c r="Z78" s="178">
        <v>0</v>
      </c>
      <c r="AA78" s="136">
        <f t="shared" si="22"/>
        <v>8</v>
      </c>
      <c r="AB78" s="180">
        <v>0</v>
      </c>
      <c r="AC78" s="180">
        <v>0</v>
      </c>
      <c r="AD78" s="180">
        <v>0</v>
      </c>
      <c r="AE78" s="180">
        <v>0</v>
      </c>
      <c r="AF78" s="181">
        <v>0</v>
      </c>
      <c r="AG78" s="180">
        <v>0</v>
      </c>
      <c r="AH78" s="139">
        <f t="shared" si="23"/>
        <v>0</v>
      </c>
      <c r="AI78" s="144" t="s">
        <v>572</v>
      </c>
      <c r="AJ78" s="141">
        <v>62.5</v>
      </c>
      <c r="AK78" s="141">
        <v>621.25</v>
      </c>
      <c r="AL78" s="142">
        <f t="shared" si="24"/>
        <v>683.75</v>
      </c>
      <c r="AM78" s="51">
        <f t="shared" si="25"/>
        <v>0</v>
      </c>
      <c r="AN78" s="51">
        <f t="shared" si="26"/>
        <v>1367.5</v>
      </c>
      <c r="AO78" s="51">
        <f t="shared" si="27"/>
        <v>1367.5</v>
      </c>
      <c r="AP78" s="51">
        <f t="shared" si="28"/>
        <v>1367.5</v>
      </c>
      <c r="AQ78" s="51">
        <f t="shared" si="29"/>
        <v>683.75</v>
      </c>
      <c r="AR78" s="51">
        <f t="shared" si="30"/>
        <v>683.75</v>
      </c>
      <c r="AS78" s="51">
        <f t="shared" si="31"/>
        <v>0</v>
      </c>
      <c r="AT78" s="51">
        <f t="shared" si="39"/>
        <v>5470</v>
      </c>
      <c r="AU78" s="54">
        <f t="shared" si="32"/>
        <v>0</v>
      </c>
      <c r="AV78" s="54">
        <f t="shared" si="33"/>
        <v>0</v>
      </c>
      <c r="AW78" s="54">
        <f t="shared" si="34"/>
        <v>0</v>
      </c>
      <c r="AX78" s="54">
        <f t="shared" si="35"/>
        <v>0</v>
      </c>
      <c r="AY78" s="54">
        <f t="shared" si="36"/>
        <v>0</v>
      </c>
      <c r="AZ78" s="54">
        <f t="shared" si="37"/>
        <v>0</v>
      </c>
      <c r="BA78" s="54">
        <f t="shared" si="38"/>
        <v>0</v>
      </c>
      <c r="BB78" s="128"/>
    </row>
    <row r="79" spans="1:54">
      <c r="A79" s="170">
        <v>63</v>
      </c>
      <c r="B79" s="171" t="s">
        <v>610</v>
      </c>
      <c r="C79" s="172"/>
      <c r="D79" s="173" t="s">
        <v>599</v>
      </c>
      <c r="E79" s="174"/>
      <c r="F79" s="175"/>
      <c r="G79" s="175"/>
      <c r="H79" s="175"/>
      <c r="I79" s="175"/>
      <c r="J79" s="175"/>
      <c r="K79" s="175"/>
      <c r="L79" s="175">
        <f t="shared" si="20"/>
        <v>0</v>
      </c>
      <c r="M79" s="176"/>
      <c r="N79" s="176"/>
      <c r="O79" s="176"/>
      <c r="P79" s="176"/>
      <c r="Q79" s="176"/>
      <c r="R79" s="176"/>
      <c r="S79" s="176">
        <f t="shared" si="21"/>
        <v>0</v>
      </c>
      <c r="T79" s="177">
        <v>0</v>
      </c>
      <c r="U79" s="177">
        <v>3</v>
      </c>
      <c r="V79" s="178">
        <v>0</v>
      </c>
      <c r="W79" s="178">
        <v>0</v>
      </c>
      <c r="X79" s="178">
        <v>0</v>
      </c>
      <c r="Y79" s="179">
        <v>0</v>
      </c>
      <c r="Z79" s="178">
        <v>0</v>
      </c>
      <c r="AA79" s="136">
        <f t="shared" si="22"/>
        <v>3</v>
      </c>
      <c r="AB79" s="180">
        <v>0</v>
      </c>
      <c r="AC79" s="180">
        <v>2</v>
      </c>
      <c r="AD79" s="180">
        <v>2</v>
      </c>
      <c r="AE79" s="180">
        <v>2</v>
      </c>
      <c r="AF79" s="181">
        <v>0</v>
      </c>
      <c r="AG79" s="180">
        <v>0</v>
      </c>
      <c r="AH79" s="139">
        <f t="shared" si="23"/>
        <v>6</v>
      </c>
      <c r="AI79" s="144" t="s">
        <v>572</v>
      </c>
      <c r="AJ79" s="141">
        <v>43.75</v>
      </c>
      <c r="AK79" s="141">
        <v>150</v>
      </c>
      <c r="AL79" s="142">
        <f t="shared" si="24"/>
        <v>193.75</v>
      </c>
      <c r="AM79" s="51">
        <f t="shared" si="25"/>
        <v>0</v>
      </c>
      <c r="AN79" s="51">
        <f t="shared" si="26"/>
        <v>581.25</v>
      </c>
      <c r="AO79" s="51">
        <f t="shared" si="27"/>
        <v>0</v>
      </c>
      <c r="AP79" s="51">
        <f t="shared" si="28"/>
        <v>0</v>
      </c>
      <c r="AQ79" s="51">
        <f t="shared" si="29"/>
        <v>0</v>
      </c>
      <c r="AR79" s="51">
        <f t="shared" si="30"/>
        <v>0</v>
      </c>
      <c r="AS79" s="51">
        <f t="shared" si="31"/>
        <v>0</v>
      </c>
      <c r="AT79" s="51">
        <f t="shared" si="39"/>
        <v>581.25</v>
      </c>
      <c r="AU79" s="54">
        <f t="shared" si="32"/>
        <v>0</v>
      </c>
      <c r="AV79" s="54">
        <f t="shared" si="33"/>
        <v>387.5</v>
      </c>
      <c r="AW79" s="54">
        <f t="shared" si="34"/>
        <v>387.5</v>
      </c>
      <c r="AX79" s="54">
        <f t="shared" si="35"/>
        <v>387.5</v>
      </c>
      <c r="AY79" s="54">
        <f t="shared" si="36"/>
        <v>0</v>
      </c>
      <c r="AZ79" s="54">
        <f t="shared" si="37"/>
        <v>0</v>
      </c>
      <c r="BA79" s="54">
        <f t="shared" si="38"/>
        <v>1162.5</v>
      </c>
      <c r="BB79" s="128"/>
    </row>
    <row r="80" spans="1:54">
      <c r="A80" s="170">
        <v>64</v>
      </c>
      <c r="B80" s="171" t="s">
        <v>611</v>
      </c>
      <c r="C80" s="172"/>
      <c r="D80" s="173" t="s">
        <v>599</v>
      </c>
      <c r="E80" s="174"/>
      <c r="F80" s="175"/>
      <c r="G80" s="175"/>
      <c r="H80" s="175"/>
      <c r="I80" s="175"/>
      <c r="J80" s="175"/>
      <c r="K80" s="175"/>
      <c r="L80" s="175">
        <f t="shared" si="20"/>
        <v>0</v>
      </c>
      <c r="M80" s="176"/>
      <c r="N80" s="176"/>
      <c r="O80" s="176"/>
      <c r="P80" s="176"/>
      <c r="Q80" s="176"/>
      <c r="R80" s="176"/>
      <c r="S80" s="176">
        <f t="shared" si="21"/>
        <v>0</v>
      </c>
      <c r="T80" s="177">
        <v>0</v>
      </c>
      <c r="U80" s="177">
        <v>1</v>
      </c>
      <c r="V80" s="178">
        <v>0</v>
      </c>
      <c r="W80" s="178">
        <v>0</v>
      </c>
      <c r="X80" s="178">
        <v>0</v>
      </c>
      <c r="Y80" s="179">
        <v>0</v>
      </c>
      <c r="Z80" s="178">
        <v>0</v>
      </c>
      <c r="AA80" s="136">
        <f t="shared" si="22"/>
        <v>1</v>
      </c>
      <c r="AB80" s="180">
        <v>0</v>
      </c>
      <c r="AC80" s="180">
        <v>0</v>
      </c>
      <c r="AD80" s="180">
        <v>0</v>
      </c>
      <c r="AE80" s="180">
        <v>0</v>
      </c>
      <c r="AF80" s="181">
        <v>0</v>
      </c>
      <c r="AG80" s="180">
        <v>0</v>
      </c>
      <c r="AH80" s="139">
        <f t="shared" si="23"/>
        <v>0</v>
      </c>
      <c r="AI80" s="144" t="s">
        <v>572</v>
      </c>
      <c r="AJ80" s="141">
        <v>50</v>
      </c>
      <c r="AK80" s="141">
        <v>200</v>
      </c>
      <c r="AL80" s="142">
        <f t="shared" si="24"/>
        <v>250</v>
      </c>
      <c r="AM80" s="51">
        <f t="shared" si="25"/>
        <v>0</v>
      </c>
      <c r="AN80" s="51">
        <f t="shared" si="26"/>
        <v>250</v>
      </c>
      <c r="AO80" s="51">
        <f t="shared" si="27"/>
        <v>0</v>
      </c>
      <c r="AP80" s="51">
        <f t="shared" si="28"/>
        <v>0</v>
      </c>
      <c r="AQ80" s="51">
        <f t="shared" si="29"/>
        <v>0</v>
      </c>
      <c r="AR80" s="51">
        <f t="shared" si="30"/>
        <v>0</v>
      </c>
      <c r="AS80" s="51">
        <f t="shared" si="31"/>
        <v>0</v>
      </c>
      <c r="AT80" s="51">
        <f t="shared" si="39"/>
        <v>250</v>
      </c>
      <c r="AU80" s="54">
        <f t="shared" si="32"/>
        <v>0</v>
      </c>
      <c r="AV80" s="54">
        <f t="shared" si="33"/>
        <v>0</v>
      </c>
      <c r="AW80" s="54">
        <f t="shared" si="34"/>
        <v>0</v>
      </c>
      <c r="AX80" s="54">
        <f t="shared" si="35"/>
        <v>0</v>
      </c>
      <c r="AY80" s="54">
        <f t="shared" si="36"/>
        <v>0</v>
      </c>
      <c r="AZ80" s="54">
        <f t="shared" si="37"/>
        <v>0</v>
      </c>
      <c r="BA80" s="54">
        <f t="shared" si="38"/>
        <v>0</v>
      </c>
      <c r="BB80" s="128"/>
    </row>
    <row r="81" spans="1:54">
      <c r="A81" s="170">
        <v>65</v>
      </c>
      <c r="B81" s="171" t="s">
        <v>612</v>
      </c>
      <c r="C81" s="172"/>
      <c r="D81" s="173" t="s">
        <v>599</v>
      </c>
      <c r="E81" s="174"/>
      <c r="F81" s="175"/>
      <c r="G81" s="175"/>
      <c r="H81" s="175"/>
      <c r="I81" s="175"/>
      <c r="J81" s="175"/>
      <c r="K81" s="175"/>
      <c r="L81" s="175">
        <f t="shared" si="20"/>
        <v>0</v>
      </c>
      <c r="M81" s="176"/>
      <c r="N81" s="176"/>
      <c r="O81" s="176"/>
      <c r="P81" s="176"/>
      <c r="Q81" s="176"/>
      <c r="R81" s="176"/>
      <c r="S81" s="176">
        <f t="shared" si="21"/>
        <v>0</v>
      </c>
      <c r="T81" s="177">
        <v>0</v>
      </c>
      <c r="U81" s="177">
        <v>0</v>
      </c>
      <c r="V81" s="178">
        <v>0</v>
      </c>
      <c r="W81" s="178">
        <v>0</v>
      </c>
      <c r="X81" s="178">
        <v>0</v>
      </c>
      <c r="Y81" s="179">
        <v>0</v>
      </c>
      <c r="Z81" s="178">
        <v>0</v>
      </c>
      <c r="AA81" s="136">
        <f t="shared" si="22"/>
        <v>0</v>
      </c>
      <c r="AB81" s="180">
        <v>1</v>
      </c>
      <c r="AC81" s="180">
        <v>0</v>
      </c>
      <c r="AD81" s="180">
        <v>0</v>
      </c>
      <c r="AE81" s="180">
        <v>0</v>
      </c>
      <c r="AF81" s="181">
        <v>0</v>
      </c>
      <c r="AG81" s="180">
        <v>0</v>
      </c>
      <c r="AH81" s="139">
        <f t="shared" si="23"/>
        <v>1</v>
      </c>
      <c r="AI81" s="144" t="s">
        <v>572</v>
      </c>
      <c r="AJ81" s="141">
        <v>150</v>
      </c>
      <c r="AK81" s="141">
        <v>1000</v>
      </c>
      <c r="AL81" s="142">
        <f t="shared" si="24"/>
        <v>1150</v>
      </c>
      <c r="AM81" s="51">
        <f t="shared" si="25"/>
        <v>0</v>
      </c>
      <c r="AN81" s="51">
        <f t="shared" si="26"/>
        <v>0</v>
      </c>
      <c r="AO81" s="51">
        <f t="shared" si="27"/>
        <v>0</v>
      </c>
      <c r="AP81" s="51">
        <f t="shared" si="28"/>
        <v>0</v>
      </c>
      <c r="AQ81" s="51">
        <f t="shared" si="29"/>
        <v>0</v>
      </c>
      <c r="AR81" s="51">
        <f t="shared" si="30"/>
        <v>0</v>
      </c>
      <c r="AS81" s="51">
        <f t="shared" si="31"/>
        <v>0</v>
      </c>
      <c r="AT81" s="51">
        <f t="shared" si="39"/>
        <v>0</v>
      </c>
      <c r="AU81" s="54">
        <f t="shared" si="32"/>
        <v>1150</v>
      </c>
      <c r="AV81" s="54">
        <f t="shared" si="33"/>
        <v>0</v>
      </c>
      <c r="AW81" s="54">
        <f t="shared" si="34"/>
        <v>0</v>
      </c>
      <c r="AX81" s="54">
        <f t="shared" si="35"/>
        <v>0</v>
      </c>
      <c r="AY81" s="54">
        <f t="shared" si="36"/>
        <v>0</v>
      </c>
      <c r="AZ81" s="54">
        <f t="shared" si="37"/>
        <v>0</v>
      </c>
      <c r="BA81" s="54">
        <f t="shared" si="38"/>
        <v>1150</v>
      </c>
      <c r="BB81" s="128"/>
    </row>
    <row r="82" spans="1:54">
      <c r="A82" s="170">
        <v>66</v>
      </c>
      <c r="B82" s="171" t="s">
        <v>613</v>
      </c>
      <c r="C82" s="172"/>
      <c r="D82" s="173" t="s">
        <v>599</v>
      </c>
      <c r="E82" s="174"/>
      <c r="F82" s="175"/>
      <c r="G82" s="175"/>
      <c r="H82" s="175"/>
      <c r="I82" s="175"/>
      <c r="J82" s="175"/>
      <c r="K82" s="175"/>
      <c r="L82" s="175">
        <f t="shared" si="20"/>
        <v>0</v>
      </c>
      <c r="M82" s="176"/>
      <c r="N82" s="176"/>
      <c r="O82" s="176"/>
      <c r="P82" s="176"/>
      <c r="Q82" s="176"/>
      <c r="R82" s="176"/>
      <c r="S82" s="176">
        <f t="shared" si="21"/>
        <v>0</v>
      </c>
      <c r="T82" s="177">
        <v>0</v>
      </c>
      <c r="U82" s="177">
        <v>0</v>
      </c>
      <c r="V82" s="178">
        <v>0</v>
      </c>
      <c r="W82" s="178">
        <v>0</v>
      </c>
      <c r="X82" s="178">
        <v>0</v>
      </c>
      <c r="Y82" s="179">
        <v>0</v>
      </c>
      <c r="Z82" s="178">
        <v>0</v>
      </c>
      <c r="AA82" s="136">
        <f t="shared" si="22"/>
        <v>0</v>
      </c>
      <c r="AB82" s="180">
        <v>1</v>
      </c>
      <c r="AC82" s="180">
        <v>0</v>
      </c>
      <c r="AD82" s="180">
        <v>0</v>
      </c>
      <c r="AE82" s="180">
        <v>0</v>
      </c>
      <c r="AF82" s="181">
        <v>0</v>
      </c>
      <c r="AG82" s="180">
        <v>0</v>
      </c>
      <c r="AH82" s="139">
        <f t="shared" si="23"/>
        <v>1</v>
      </c>
      <c r="AI82" s="144" t="s">
        <v>572</v>
      </c>
      <c r="AJ82" s="141">
        <v>100</v>
      </c>
      <c r="AK82" s="141">
        <v>850</v>
      </c>
      <c r="AL82" s="142">
        <f t="shared" si="24"/>
        <v>950</v>
      </c>
      <c r="AM82" s="51">
        <f t="shared" si="25"/>
        <v>0</v>
      </c>
      <c r="AN82" s="51">
        <f t="shared" si="26"/>
        <v>0</v>
      </c>
      <c r="AO82" s="51">
        <f t="shared" si="27"/>
        <v>0</v>
      </c>
      <c r="AP82" s="51">
        <f t="shared" si="28"/>
        <v>0</v>
      </c>
      <c r="AQ82" s="51">
        <f t="shared" si="29"/>
        <v>0</v>
      </c>
      <c r="AR82" s="51">
        <f t="shared" si="30"/>
        <v>0</v>
      </c>
      <c r="AS82" s="51">
        <f t="shared" si="31"/>
        <v>0</v>
      </c>
      <c r="AT82" s="51">
        <f t="shared" si="39"/>
        <v>0</v>
      </c>
      <c r="AU82" s="54">
        <f t="shared" si="32"/>
        <v>950</v>
      </c>
      <c r="AV82" s="54">
        <f t="shared" si="33"/>
        <v>0</v>
      </c>
      <c r="AW82" s="54">
        <f t="shared" si="34"/>
        <v>0</v>
      </c>
      <c r="AX82" s="54">
        <f t="shared" si="35"/>
        <v>0</v>
      </c>
      <c r="AY82" s="54">
        <f t="shared" si="36"/>
        <v>0</v>
      </c>
      <c r="AZ82" s="54">
        <f t="shared" si="37"/>
        <v>0</v>
      </c>
      <c r="BA82" s="54">
        <f t="shared" si="38"/>
        <v>950</v>
      </c>
      <c r="BB82" s="128"/>
    </row>
    <row r="83" spans="1:54">
      <c r="A83" s="170">
        <v>67</v>
      </c>
      <c r="B83" s="171" t="s">
        <v>614</v>
      </c>
      <c r="C83" s="172"/>
      <c r="D83" s="173" t="s">
        <v>615</v>
      </c>
      <c r="E83" s="174"/>
      <c r="F83" s="175"/>
      <c r="G83" s="175"/>
      <c r="H83" s="175"/>
      <c r="I83" s="175"/>
      <c r="J83" s="175"/>
      <c r="K83" s="175"/>
      <c r="L83" s="175">
        <f t="shared" si="20"/>
        <v>0</v>
      </c>
      <c r="M83" s="176"/>
      <c r="N83" s="176"/>
      <c r="O83" s="176"/>
      <c r="P83" s="176"/>
      <c r="Q83" s="176"/>
      <c r="R83" s="176"/>
      <c r="S83" s="176">
        <f t="shared" si="21"/>
        <v>0</v>
      </c>
      <c r="T83" s="177">
        <v>0</v>
      </c>
      <c r="U83" s="177">
        <v>0</v>
      </c>
      <c r="V83" s="178">
        <v>0</v>
      </c>
      <c r="W83" s="178">
        <v>3</v>
      </c>
      <c r="X83" s="178">
        <v>5</v>
      </c>
      <c r="Y83" s="179">
        <v>6</v>
      </c>
      <c r="Z83" s="178">
        <v>0</v>
      </c>
      <c r="AA83" s="136">
        <f t="shared" si="22"/>
        <v>14</v>
      </c>
      <c r="AB83" s="180">
        <v>1</v>
      </c>
      <c r="AC83" s="180">
        <v>0</v>
      </c>
      <c r="AD83" s="180">
        <v>2</v>
      </c>
      <c r="AE83" s="180">
        <v>0</v>
      </c>
      <c r="AF83" s="181">
        <v>1</v>
      </c>
      <c r="AG83" s="180">
        <v>0</v>
      </c>
      <c r="AH83" s="139">
        <f t="shared" si="23"/>
        <v>4</v>
      </c>
      <c r="AI83" s="144" t="s">
        <v>572</v>
      </c>
      <c r="AJ83" s="141">
        <v>100</v>
      </c>
      <c r="AK83" s="141">
        <v>492.66055045871553</v>
      </c>
      <c r="AL83" s="142">
        <f t="shared" si="24"/>
        <v>592.66055045871553</v>
      </c>
      <c r="AM83" s="51">
        <f t="shared" si="25"/>
        <v>0</v>
      </c>
      <c r="AN83" s="51">
        <f t="shared" si="26"/>
        <v>0</v>
      </c>
      <c r="AO83" s="51">
        <f t="shared" si="27"/>
        <v>0</v>
      </c>
      <c r="AP83" s="51">
        <f t="shared" si="28"/>
        <v>1777.9816513761466</v>
      </c>
      <c r="AQ83" s="51">
        <f t="shared" si="29"/>
        <v>2963.3027522935777</v>
      </c>
      <c r="AR83" s="51">
        <f t="shared" si="30"/>
        <v>3555.9633027522932</v>
      </c>
      <c r="AS83" s="51">
        <f t="shared" si="31"/>
        <v>0</v>
      </c>
      <c r="AT83" s="51">
        <f t="shared" si="39"/>
        <v>8297.2477064220184</v>
      </c>
      <c r="AU83" s="54">
        <f t="shared" si="32"/>
        <v>592.66055045871553</v>
      </c>
      <c r="AV83" s="54">
        <f t="shared" si="33"/>
        <v>0</v>
      </c>
      <c r="AW83" s="54">
        <f t="shared" si="34"/>
        <v>1185.3211009174311</v>
      </c>
      <c r="AX83" s="54">
        <f t="shared" si="35"/>
        <v>0</v>
      </c>
      <c r="AY83" s="54">
        <f t="shared" si="36"/>
        <v>592.66055045871553</v>
      </c>
      <c r="AZ83" s="54">
        <f t="shared" si="37"/>
        <v>0</v>
      </c>
      <c r="BA83" s="54">
        <f t="shared" si="38"/>
        <v>2370.6422018348621</v>
      </c>
      <c r="BB83" s="128"/>
    </row>
    <row r="84" spans="1:54">
      <c r="A84" s="170">
        <v>68</v>
      </c>
      <c r="B84" s="171" t="s">
        <v>616</v>
      </c>
      <c r="C84" s="172"/>
      <c r="D84" s="173" t="s">
        <v>615</v>
      </c>
      <c r="E84" s="174"/>
      <c r="F84" s="175"/>
      <c r="G84" s="175"/>
      <c r="H84" s="175"/>
      <c r="I84" s="175"/>
      <c r="J84" s="175"/>
      <c r="K84" s="175"/>
      <c r="L84" s="175">
        <f t="shared" si="20"/>
        <v>0</v>
      </c>
      <c r="M84" s="176"/>
      <c r="N84" s="176"/>
      <c r="O84" s="176"/>
      <c r="P84" s="176"/>
      <c r="Q84" s="176"/>
      <c r="R84" s="176"/>
      <c r="S84" s="176">
        <f t="shared" si="21"/>
        <v>0</v>
      </c>
      <c r="T84" s="177">
        <v>0</v>
      </c>
      <c r="U84" s="177">
        <v>0</v>
      </c>
      <c r="V84" s="178">
        <v>1</v>
      </c>
      <c r="W84" s="178">
        <v>0</v>
      </c>
      <c r="X84" s="178">
        <v>0</v>
      </c>
      <c r="Y84" s="179">
        <v>0</v>
      </c>
      <c r="Z84" s="178">
        <v>0</v>
      </c>
      <c r="AA84" s="136">
        <f t="shared" si="22"/>
        <v>1</v>
      </c>
      <c r="AB84" s="180">
        <v>7</v>
      </c>
      <c r="AC84" s="180">
        <v>5</v>
      </c>
      <c r="AD84" s="180">
        <v>3</v>
      </c>
      <c r="AE84" s="180">
        <v>3</v>
      </c>
      <c r="AF84" s="181">
        <v>2</v>
      </c>
      <c r="AG84" s="180">
        <v>0</v>
      </c>
      <c r="AH84" s="139">
        <f t="shared" si="23"/>
        <v>20</v>
      </c>
      <c r="AI84" s="144" t="s">
        <v>572</v>
      </c>
      <c r="AJ84" s="141">
        <v>100</v>
      </c>
      <c r="AK84" s="141">
        <v>644.03669724770634</v>
      </c>
      <c r="AL84" s="142">
        <f t="shared" si="24"/>
        <v>744.03669724770634</v>
      </c>
      <c r="AM84" s="51">
        <f t="shared" si="25"/>
        <v>0</v>
      </c>
      <c r="AN84" s="51">
        <f t="shared" si="26"/>
        <v>0</v>
      </c>
      <c r="AO84" s="51">
        <f t="shared" si="27"/>
        <v>744.03669724770634</v>
      </c>
      <c r="AP84" s="51">
        <f t="shared" si="28"/>
        <v>0</v>
      </c>
      <c r="AQ84" s="51">
        <f t="shared" si="29"/>
        <v>0</v>
      </c>
      <c r="AR84" s="51">
        <f t="shared" si="30"/>
        <v>0</v>
      </c>
      <c r="AS84" s="51">
        <f t="shared" si="31"/>
        <v>0</v>
      </c>
      <c r="AT84" s="51">
        <f t="shared" si="39"/>
        <v>744.03669724770634</v>
      </c>
      <c r="AU84" s="54">
        <f t="shared" si="32"/>
        <v>5208.2568807339449</v>
      </c>
      <c r="AV84" s="54">
        <f t="shared" si="33"/>
        <v>3720.1834862385317</v>
      </c>
      <c r="AW84" s="54">
        <f t="shared" si="34"/>
        <v>2232.110091743119</v>
      </c>
      <c r="AX84" s="54">
        <f t="shared" si="35"/>
        <v>2232.110091743119</v>
      </c>
      <c r="AY84" s="54">
        <f t="shared" si="36"/>
        <v>1488.0733944954127</v>
      </c>
      <c r="AZ84" s="54">
        <f t="shared" si="37"/>
        <v>0</v>
      </c>
      <c r="BA84" s="54">
        <f t="shared" si="38"/>
        <v>14880.733944954129</v>
      </c>
      <c r="BB84" s="128"/>
    </row>
    <row r="85" spans="1:54">
      <c r="A85" s="170">
        <v>69</v>
      </c>
      <c r="B85" s="171" t="s">
        <v>617</v>
      </c>
      <c r="C85" s="172"/>
      <c r="D85" s="173" t="s">
        <v>615</v>
      </c>
      <c r="E85" s="174"/>
      <c r="F85" s="175"/>
      <c r="G85" s="175"/>
      <c r="H85" s="175"/>
      <c r="I85" s="175"/>
      <c r="J85" s="175"/>
      <c r="K85" s="175"/>
      <c r="L85" s="175">
        <f t="shared" si="20"/>
        <v>0</v>
      </c>
      <c r="M85" s="176"/>
      <c r="N85" s="176"/>
      <c r="O85" s="176"/>
      <c r="P85" s="176"/>
      <c r="Q85" s="176"/>
      <c r="R85" s="176"/>
      <c r="S85" s="176">
        <f t="shared" si="21"/>
        <v>0</v>
      </c>
      <c r="T85" s="177">
        <v>0</v>
      </c>
      <c r="U85" s="177">
        <v>0</v>
      </c>
      <c r="V85" s="178">
        <v>0</v>
      </c>
      <c r="W85" s="178">
        <v>0</v>
      </c>
      <c r="X85" s="178">
        <v>0</v>
      </c>
      <c r="Y85" s="179">
        <v>0</v>
      </c>
      <c r="Z85" s="178">
        <v>0</v>
      </c>
      <c r="AA85" s="136">
        <f t="shared" si="22"/>
        <v>0</v>
      </c>
      <c r="AB85" s="180">
        <v>0</v>
      </c>
      <c r="AC85" s="180">
        <v>1</v>
      </c>
      <c r="AD85" s="180">
        <v>0</v>
      </c>
      <c r="AE85" s="180">
        <v>0</v>
      </c>
      <c r="AF85" s="181">
        <v>0</v>
      </c>
      <c r="AG85" s="180">
        <v>0</v>
      </c>
      <c r="AH85" s="139">
        <f t="shared" si="23"/>
        <v>1</v>
      </c>
      <c r="AI85" s="144" t="s">
        <v>572</v>
      </c>
      <c r="AJ85" s="141">
        <v>100</v>
      </c>
      <c r="AK85" s="141">
        <v>795.41284403669715</v>
      </c>
      <c r="AL85" s="142">
        <f t="shared" si="24"/>
        <v>895.41284403669715</v>
      </c>
      <c r="AM85" s="51">
        <f t="shared" si="25"/>
        <v>0</v>
      </c>
      <c r="AN85" s="51">
        <f t="shared" si="26"/>
        <v>0</v>
      </c>
      <c r="AO85" s="51">
        <f t="shared" si="27"/>
        <v>0</v>
      </c>
      <c r="AP85" s="51">
        <f t="shared" si="28"/>
        <v>0</v>
      </c>
      <c r="AQ85" s="51">
        <f t="shared" si="29"/>
        <v>0</v>
      </c>
      <c r="AR85" s="51">
        <f t="shared" si="30"/>
        <v>0</v>
      </c>
      <c r="AS85" s="51">
        <f t="shared" si="31"/>
        <v>0</v>
      </c>
      <c r="AT85" s="51">
        <f t="shared" si="39"/>
        <v>0</v>
      </c>
      <c r="AU85" s="54">
        <f t="shared" si="32"/>
        <v>0</v>
      </c>
      <c r="AV85" s="54">
        <f t="shared" si="33"/>
        <v>895.41284403669715</v>
      </c>
      <c r="AW85" s="54">
        <f t="shared" si="34"/>
        <v>0</v>
      </c>
      <c r="AX85" s="54">
        <f t="shared" si="35"/>
        <v>0</v>
      </c>
      <c r="AY85" s="54">
        <f t="shared" si="36"/>
        <v>0</v>
      </c>
      <c r="AZ85" s="54">
        <f t="shared" si="37"/>
        <v>0</v>
      </c>
      <c r="BA85" s="54">
        <f t="shared" si="38"/>
        <v>895.41284403669715</v>
      </c>
      <c r="BB85" s="128"/>
    </row>
    <row r="86" spans="1:54">
      <c r="A86" s="170">
        <v>70</v>
      </c>
      <c r="B86" s="171" t="s">
        <v>618</v>
      </c>
      <c r="C86" s="172"/>
      <c r="D86" s="173" t="s">
        <v>615</v>
      </c>
      <c r="E86" s="174"/>
      <c r="F86" s="175"/>
      <c r="G86" s="175"/>
      <c r="H86" s="175"/>
      <c r="I86" s="175"/>
      <c r="J86" s="175"/>
      <c r="K86" s="175"/>
      <c r="L86" s="175">
        <f t="shared" si="20"/>
        <v>0</v>
      </c>
      <c r="M86" s="176"/>
      <c r="N86" s="176"/>
      <c r="O86" s="176"/>
      <c r="P86" s="176"/>
      <c r="Q86" s="176"/>
      <c r="R86" s="176"/>
      <c r="S86" s="176">
        <f t="shared" si="21"/>
        <v>0</v>
      </c>
      <c r="T86" s="177">
        <v>0</v>
      </c>
      <c r="U86" s="177">
        <v>30</v>
      </c>
      <c r="V86" s="178">
        <v>22</v>
      </c>
      <c r="W86" s="178">
        <v>27</v>
      </c>
      <c r="X86" s="178">
        <v>20</v>
      </c>
      <c r="Y86" s="179">
        <v>21</v>
      </c>
      <c r="Z86" s="178">
        <v>0</v>
      </c>
      <c r="AA86" s="136">
        <f t="shared" si="22"/>
        <v>120</v>
      </c>
      <c r="AB86" s="180">
        <v>16</v>
      </c>
      <c r="AC86" s="180">
        <v>26</v>
      </c>
      <c r="AD86" s="180">
        <v>27</v>
      </c>
      <c r="AE86" s="180">
        <v>21</v>
      </c>
      <c r="AF86" s="181">
        <v>24</v>
      </c>
      <c r="AG86" s="180">
        <v>0</v>
      </c>
      <c r="AH86" s="139">
        <f t="shared" si="23"/>
        <v>114</v>
      </c>
      <c r="AI86" s="144" t="s">
        <v>572</v>
      </c>
      <c r="AJ86" s="141">
        <v>100</v>
      </c>
      <c r="AK86" s="141">
        <v>644.03669724770634</v>
      </c>
      <c r="AL86" s="142">
        <f t="shared" si="24"/>
        <v>744.03669724770634</v>
      </c>
      <c r="AM86" s="51">
        <f t="shared" si="25"/>
        <v>0</v>
      </c>
      <c r="AN86" s="51">
        <f t="shared" si="26"/>
        <v>22321.100917431191</v>
      </c>
      <c r="AO86" s="51">
        <f t="shared" si="27"/>
        <v>16368.80733944954</v>
      </c>
      <c r="AP86" s="51">
        <f t="shared" si="28"/>
        <v>20088.99082568807</v>
      </c>
      <c r="AQ86" s="51">
        <f t="shared" si="29"/>
        <v>14880.733944954127</v>
      </c>
      <c r="AR86" s="51">
        <f t="shared" si="30"/>
        <v>15624.770642201833</v>
      </c>
      <c r="AS86" s="51">
        <f t="shared" si="31"/>
        <v>0</v>
      </c>
      <c r="AT86" s="51">
        <f t="shared" si="39"/>
        <v>89284.403669724779</v>
      </c>
      <c r="AU86" s="54">
        <f t="shared" si="32"/>
        <v>11904.587155963301</v>
      </c>
      <c r="AV86" s="54">
        <f t="shared" si="33"/>
        <v>19344.954128440364</v>
      </c>
      <c r="AW86" s="54">
        <f t="shared" si="34"/>
        <v>20088.99082568807</v>
      </c>
      <c r="AX86" s="54">
        <f t="shared" si="35"/>
        <v>15624.770642201833</v>
      </c>
      <c r="AY86" s="54">
        <f t="shared" si="36"/>
        <v>17856.880733944952</v>
      </c>
      <c r="AZ86" s="54">
        <f t="shared" si="37"/>
        <v>0</v>
      </c>
      <c r="BA86" s="54">
        <f t="shared" si="38"/>
        <v>84820.183486238529</v>
      </c>
      <c r="BB86" s="128"/>
    </row>
    <row r="87" spans="1:54">
      <c r="A87" s="170">
        <v>71</v>
      </c>
      <c r="B87" s="171" t="s">
        <v>619</v>
      </c>
      <c r="C87" s="172"/>
      <c r="D87" s="173" t="s">
        <v>615</v>
      </c>
      <c r="E87" s="174"/>
      <c r="F87" s="175"/>
      <c r="G87" s="175"/>
      <c r="H87" s="175"/>
      <c r="I87" s="175"/>
      <c r="J87" s="175"/>
      <c r="K87" s="175"/>
      <c r="L87" s="175">
        <f t="shared" si="20"/>
        <v>0</v>
      </c>
      <c r="M87" s="176"/>
      <c r="N87" s="176"/>
      <c r="O87" s="176"/>
      <c r="P87" s="176"/>
      <c r="Q87" s="176"/>
      <c r="R87" s="176"/>
      <c r="S87" s="176">
        <f t="shared" si="21"/>
        <v>0</v>
      </c>
      <c r="T87" s="177">
        <v>0</v>
      </c>
      <c r="U87" s="177">
        <v>0</v>
      </c>
      <c r="V87" s="178">
        <v>0</v>
      </c>
      <c r="W87" s="178">
        <v>0</v>
      </c>
      <c r="X87" s="178">
        <v>0</v>
      </c>
      <c r="Y87" s="179">
        <v>0</v>
      </c>
      <c r="Z87" s="178">
        <v>0</v>
      </c>
      <c r="AA87" s="136">
        <f t="shared" si="22"/>
        <v>0</v>
      </c>
      <c r="AB87" s="180">
        <v>2</v>
      </c>
      <c r="AC87" s="180">
        <v>2</v>
      </c>
      <c r="AD87" s="180">
        <v>0</v>
      </c>
      <c r="AE87" s="180">
        <v>0</v>
      </c>
      <c r="AF87" s="181">
        <v>0</v>
      </c>
      <c r="AG87" s="180">
        <v>0</v>
      </c>
      <c r="AH87" s="139">
        <f t="shared" si="23"/>
        <v>4</v>
      </c>
      <c r="AI87" s="144" t="s">
        <v>572</v>
      </c>
      <c r="AJ87" s="141">
        <v>100</v>
      </c>
      <c r="AK87" s="141">
        <v>795.41284403669715</v>
      </c>
      <c r="AL87" s="142">
        <f t="shared" si="24"/>
        <v>895.41284403669715</v>
      </c>
      <c r="AM87" s="51">
        <f t="shared" si="25"/>
        <v>0</v>
      </c>
      <c r="AN87" s="51">
        <f t="shared" si="26"/>
        <v>0</v>
      </c>
      <c r="AO87" s="51">
        <f t="shared" si="27"/>
        <v>0</v>
      </c>
      <c r="AP87" s="51">
        <f t="shared" si="28"/>
        <v>0</v>
      </c>
      <c r="AQ87" s="51">
        <f t="shared" si="29"/>
        <v>0</v>
      </c>
      <c r="AR87" s="51">
        <f t="shared" si="30"/>
        <v>0</v>
      </c>
      <c r="AS87" s="51">
        <f t="shared" si="31"/>
        <v>0</v>
      </c>
      <c r="AT87" s="51">
        <f t="shared" si="39"/>
        <v>0</v>
      </c>
      <c r="AU87" s="54">
        <f t="shared" si="32"/>
        <v>1790.8256880733943</v>
      </c>
      <c r="AV87" s="54">
        <f t="shared" si="33"/>
        <v>1790.8256880733943</v>
      </c>
      <c r="AW87" s="54">
        <f t="shared" si="34"/>
        <v>0</v>
      </c>
      <c r="AX87" s="54">
        <f t="shared" si="35"/>
        <v>0</v>
      </c>
      <c r="AY87" s="54">
        <f t="shared" si="36"/>
        <v>0</v>
      </c>
      <c r="AZ87" s="54">
        <f t="shared" si="37"/>
        <v>0</v>
      </c>
      <c r="BA87" s="54">
        <f t="shared" si="38"/>
        <v>3581.6513761467886</v>
      </c>
      <c r="BB87" s="128"/>
    </row>
    <row r="88" spans="1:54">
      <c r="A88" s="170">
        <v>72</v>
      </c>
      <c r="B88" s="171" t="s">
        <v>620</v>
      </c>
      <c r="C88" s="172"/>
      <c r="D88" s="173" t="s">
        <v>615</v>
      </c>
      <c r="E88" s="174"/>
      <c r="F88" s="175"/>
      <c r="G88" s="175"/>
      <c r="H88" s="175"/>
      <c r="I88" s="175"/>
      <c r="J88" s="175"/>
      <c r="K88" s="175"/>
      <c r="L88" s="175">
        <f t="shared" si="20"/>
        <v>0</v>
      </c>
      <c r="M88" s="176"/>
      <c r="N88" s="176"/>
      <c r="O88" s="176"/>
      <c r="P88" s="176"/>
      <c r="Q88" s="176"/>
      <c r="R88" s="176"/>
      <c r="S88" s="176">
        <f t="shared" si="21"/>
        <v>0</v>
      </c>
      <c r="T88" s="177">
        <v>0</v>
      </c>
      <c r="U88" s="177">
        <v>18</v>
      </c>
      <c r="V88" s="178">
        <v>16</v>
      </c>
      <c r="W88" s="178">
        <v>9</v>
      </c>
      <c r="X88" s="178">
        <v>10</v>
      </c>
      <c r="Y88" s="179">
        <v>7</v>
      </c>
      <c r="Z88" s="178">
        <v>0</v>
      </c>
      <c r="AA88" s="136">
        <f t="shared" si="22"/>
        <v>60</v>
      </c>
      <c r="AB88" s="180">
        <v>2</v>
      </c>
      <c r="AC88" s="180">
        <v>2</v>
      </c>
      <c r="AD88" s="180">
        <v>3</v>
      </c>
      <c r="AE88" s="180">
        <v>3</v>
      </c>
      <c r="AF88" s="181">
        <v>2</v>
      </c>
      <c r="AG88" s="180">
        <v>0</v>
      </c>
      <c r="AH88" s="139">
        <f t="shared" si="23"/>
        <v>12</v>
      </c>
      <c r="AI88" s="144" t="s">
        <v>572</v>
      </c>
      <c r="AJ88" s="141">
        <v>100</v>
      </c>
      <c r="AK88" s="141">
        <v>795.41284403669715</v>
      </c>
      <c r="AL88" s="142">
        <f t="shared" si="24"/>
        <v>895.41284403669715</v>
      </c>
      <c r="AM88" s="51">
        <f t="shared" si="25"/>
        <v>0</v>
      </c>
      <c r="AN88" s="51">
        <f t="shared" si="26"/>
        <v>16117.431192660548</v>
      </c>
      <c r="AO88" s="51">
        <f t="shared" si="27"/>
        <v>14326.605504587154</v>
      </c>
      <c r="AP88" s="51">
        <f t="shared" si="28"/>
        <v>8058.7155963302739</v>
      </c>
      <c r="AQ88" s="51">
        <f t="shared" si="29"/>
        <v>8954.1284403669706</v>
      </c>
      <c r="AR88" s="51">
        <f t="shared" si="30"/>
        <v>6267.8899082568805</v>
      </c>
      <c r="AS88" s="51">
        <f t="shared" si="31"/>
        <v>0</v>
      </c>
      <c r="AT88" s="51">
        <f t="shared" si="39"/>
        <v>53724.770642201831</v>
      </c>
      <c r="AU88" s="54">
        <f t="shared" si="32"/>
        <v>1790.8256880733943</v>
      </c>
      <c r="AV88" s="54">
        <f t="shared" si="33"/>
        <v>1790.8256880733943</v>
      </c>
      <c r="AW88" s="54">
        <f t="shared" si="34"/>
        <v>2686.2385321100915</v>
      </c>
      <c r="AX88" s="54">
        <f t="shared" si="35"/>
        <v>2686.2385321100915</v>
      </c>
      <c r="AY88" s="54">
        <f t="shared" si="36"/>
        <v>1790.8256880733943</v>
      </c>
      <c r="AZ88" s="54">
        <f t="shared" si="37"/>
        <v>0</v>
      </c>
      <c r="BA88" s="54">
        <f t="shared" si="38"/>
        <v>10744.954128440368</v>
      </c>
      <c r="BB88" s="128"/>
    </row>
    <row r="89" spans="1:54">
      <c r="A89" s="170">
        <v>73</v>
      </c>
      <c r="B89" s="171" t="s">
        <v>621</v>
      </c>
      <c r="C89" s="172"/>
      <c r="D89" s="173" t="s">
        <v>615</v>
      </c>
      <c r="E89" s="174"/>
      <c r="F89" s="175"/>
      <c r="G89" s="175"/>
      <c r="H89" s="175"/>
      <c r="I89" s="175"/>
      <c r="J89" s="175"/>
      <c r="K89" s="175"/>
      <c r="L89" s="175">
        <f t="shared" si="20"/>
        <v>0</v>
      </c>
      <c r="M89" s="176"/>
      <c r="N89" s="176"/>
      <c r="O89" s="176"/>
      <c r="P89" s="176"/>
      <c r="Q89" s="176"/>
      <c r="R89" s="176"/>
      <c r="S89" s="176">
        <f t="shared" si="21"/>
        <v>0</v>
      </c>
      <c r="T89" s="177">
        <v>0</v>
      </c>
      <c r="U89" s="177">
        <v>11</v>
      </c>
      <c r="V89" s="178">
        <v>10</v>
      </c>
      <c r="W89" s="178">
        <v>10</v>
      </c>
      <c r="X89" s="178">
        <v>8</v>
      </c>
      <c r="Y89" s="179">
        <v>9</v>
      </c>
      <c r="Z89" s="178">
        <v>0</v>
      </c>
      <c r="AA89" s="136">
        <f t="shared" si="22"/>
        <v>48</v>
      </c>
      <c r="AB89" s="180">
        <v>11</v>
      </c>
      <c r="AC89" s="180">
        <v>15</v>
      </c>
      <c r="AD89" s="180">
        <v>14</v>
      </c>
      <c r="AE89" s="180">
        <v>9</v>
      </c>
      <c r="AF89" s="181">
        <v>13</v>
      </c>
      <c r="AG89" s="180">
        <v>0</v>
      </c>
      <c r="AH89" s="139">
        <f t="shared" si="23"/>
        <v>62</v>
      </c>
      <c r="AI89" s="144" t="s">
        <v>572</v>
      </c>
      <c r="AJ89" s="141">
        <v>200</v>
      </c>
      <c r="AK89" s="141">
        <v>2310.5504587155961</v>
      </c>
      <c r="AL89" s="142">
        <f t="shared" si="24"/>
        <v>2510.5504587155961</v>
      </c>
      <c r="AM89" s="51">
        <f t="shared" si="25"/>
        <v>0</v>
      </c>
      <c r="AN89" s="51">
        <f t="shared" si="26"/>
        <v>27616.055045871555</v>
      </c>
      <c r="AO89" s="51">
        <f t="shared" si="27"/>
        <v>25105.50458715596</v>
      </c>
      <c r="AP89" s="51">
        <f t="shared" si="28"/>
        <v>25105.50458715596</v>
      </c>
      <c r="AQ89" s="51">
        <f t="shared" si="29"/>
        <v>20084.403669724768</v>
      </c>
      <c r="AR89" s="51">
        <f t="shared" si="30"/>
        <v>22594.954128440364</v>
      </c>
      <c r="AS89" s="51">
        <f t="shared" si="31"/>
        <v>0</v>
      </c>
      <c r="AT89" s="51">
        <f t="shared" si="39"/>
        <v>120506.4220183486</v>
      </c>
      <c r="AU89" s="54">
        <f t="shared" si="32"/>
        <v>27616.055045871555</v>
      </c>
      <c r="AV89" s="54">
        <f t="shared" si="33"/>
        <v>37658.256880733941</v>
      </c>
      <c r="AW89" s="54">
        <f t="shared" si="34"/>
        <v>35147.706422018346</v>
      </c>
      <c r="AX89" s="54">
        <f t="shared" si="35"/>
        <v>22594.954128440364</v>
      </c>
      <c r="AY89" s="54">
        <f t="shared" si="36"/>
        <v>32637.15596330275</v>
      </c>
      <c r="AZ89" s="54">
        <f t="shared" si="37"/>
        <v>0</v>
      </c>
      <c r="BA89" s="54">
        <f t="shared" si="38"/>
        <v>155654.12844036697</v>
      </c>
      <c r="BB89" s="128"/>
    </row>
    <row r="90" spans="1:54">
      <c r="A90" s="170">
        <v>74</v>
      </c>
      <c r="B90" s="171" t="s">
        <v>622</v>
      </c>
      <c r="C90" s="172"/>
      <c r="D90" s="173" t="s">
        <v>615</v>
      </c>
      <c r="E90" s="174"/>
      <c r="F90" s="175"/>
      <c r="G90" s="175"/>
      <c r="H90" s="175"/>
      <c r="I90" s="175"/>
      <c r="J90" s="175"/>
      <c r="K90" s="175"/>
      <c r="L90" s="175">
        <f t="shared" si="20"/>
        <v>0</v>
      </c>
      <c r="M90" s="176"/>
      <c r="N90" s="176"/>
      <c r="O90" s="176"/>
      <c r="P90" s="176"/>
      <c r="Q90" s="176"/>
      <c r="R90" s="176"/>
      <c r="S90" s="176">
        <f t="shared" si="21"/>
        <v>0</v>
      </c>
      <c r="T90" s="177">
        <v>0</v>
      </c>
      <c r="U90" s="177">
        <v>1</v>
      </c>
      <c r="V90" s="178">
        <v>0</v>
      </c>
      <c r="W90" s="178">
        <v>0</v>
      </c>
      <c r="X90" s="178">
        <v>0</v>
      </c>
      <c r="Y90" s="179">
        <v>0</v>
      </c>
      <c r="Z90" s="178">
        <v>0</v>
      </c>
      <c r="AA90" s="136">
        <f t="shared" si="22"/>
        <v>1</v>
      </c>
      <c r="AB90" s="180">
        <v>0</v>
      </c>
      <c r="AC90" s="180">
        <v>0</v>
      </c>
      <c r="AD90" s="180">
        <v>1</v>
      </c>
      <c r="AE90" s="180">
        <v>2</v>
      </c>
      <c r="AF90" s="181">
        <v>1</v>
      </c>
      <c r="AG90" s="180">
        <v>0</v>
      </c>
      <c r="AH90" s="139">
        <f t="shared" si="23"/>
        <v>4</v>
      </c>
      <c r="AI90" s="144" t="s">
        <v>572</v>
      </c>
      <c r="AJ90" s="141">
        <v>175</v>
      </c>
      <c r="AK90" s="141">
        <v>1790.3669724770643</v>
      </c>
      <c r="AL90" s="142">
        <f t="shared" si="24"/>
        <v>1965.3669724770643</v>
      </c>
      <c r="AM90" s="51">
        <f t="shared" si="25"/>
        <v>0</v>
      </c>
      <c r="AN90" s="51">
        <f t="shared" si="26"/>
        <v>1965.3669724770643</v>
      </c>
      <c r="AO90" s="51">
        <f t="shared" si="27"/>
        <v>0</v>
      </c>
      <c r="AP90" s="51">
        <f t="shared" si="28"/>
        <v>0</v>
      </c>
      <c r="AQ90" s="51">
        <f t="shared" si="29"/>
        <v>0</v>
      </c>
      <c r="AR90" s="51">
        <f t="shared" si="30"/>
        <v>0</v>
      </c>
      <c r="AS90" s="51">
        <f t="shared" si="31"/>
        <v>0</v>
      </c>
      <c r="AT90" s="51">
        <f t="shared" si="39"/>
        <v>1965.3669724770643</v>
      </c>
      <c r="AU90" s="54">
        <f t="shared" si="32"/>
        <v>0</v>
      </c>
      <c r="AV90" s="54">
        <f t="shared" si="33"/>
        <v>0</v>
      </c>
      <c r="AW90" s="54">
        <f t="shared" si="34"/>
        <v>1965.3669724770643</v>
      </c>
      <c r="AX90" s="54">
        <f t="shared" si="35"/>
        <v>3930.7339449541287</v>
      </c>
      <c r="AY90" s="54">
        <f t="shared" si="36"/>
        <v>1965.3669724770643</v>
      </c>
      <c r="AZ90" s="54">
        <f t="shared" si="37"/>
        <v>0</v>
      </c>
      <c r="BA90" s="54">
        <f t="shared" si="38"/>
        <v>7861.4678899082573</v>
      </c>
      <c r="BB90" s="128"/>
    </row>
    <row r="91" spans="1:54">
      <c r="A91" s="170">
        <v>75</v>
      </c>
      <c r="B91" s="171" t="s">
        <v>623</v>
      </c>
      <c r="C91" s="172"/>
      <c r="D91" s="173"/>
      <c r="E91" s="174"/>
      <c r="F91" s="175"/>
      <c r="G91" s="175"/>
      <c r="H91" s="175"/>
      <c r="I91" s="175"/>
      <c r="J91" s="175"/>
      <c r="K91" s="175"/>
      <c r="L91" s="175">
        <f t="shared" si="20"/>
        <v>0</v>
      </c>
      <c r="M91" s="176"/>
      <c r="N91" s="176"/>
      <c r="O91" s="176"/>
      <c r="P91" s="176"/>
      <c r="Q91" s="176"/>
      <c r="R91" s="176"/>
      <c r="S91" s="176">
        <f t="shared" si="21"/>
        <v>0</v>
      </c>
      <c r="T91" s="177">
        <v>0</v>
      </c>
      <c r="U91" s="177">
        <v>6</v>
      </c>
      <c r="V91" s="178">
        <v>6</v>
      </c>
      <c r="W91" s="178">
        <v>8</v>
      </c>
      <c r="X91" s="178">
        <v>8</v>
      </c>
      <c r="Y91" s="179">
        <v>5</v>
      </c>
      <c r="Z91" s="178">
        <v>0</v>
      </c>
      <c r="AA91" s="136">
        <f t="shared" si="22"/>
        <v>33</v>
      </c>
      <c r="AB91" s="180">
        <v>6</v>
      </c>
      <c r="AC91" s="180">
        <v>7</v>
      </c>
      <c r="AD91" s="180">
        <v>8</v>
      </c>
      <c r="AE91" s="180">
        <v>7</v>
      </c>
      <c r="AF91" s="181">
        <v>7</v>
      </c>
      <c r="AG91" s="180">
        <v>0</v>
      </c>
      <c r="AH91" s="139">
        <f t="shared" si="23"/>
        <v>35</v>
      </c>
      <c r="AI91" s="144" t="s">
        <v>572</v>
      </c>
      <c r="AJ91" s="141">
        <v>275</v>
      </c>
      <c r="AK91" s="141">
        <v>0</v>
      </c>
      <c r="AL91" s="142">
        <f t="shared" si="24"/>
        <v>275</v>
      </c>
      <c r="AM91" s="51">
        <f t="shared" si="25"/>
        <v>0</v>
      </c>
      <c r="AN91" s="51">
        <f t="shared" si="26"/>
        <v>1650</v>
      </c>
      <c r="AO91" s="51">
        <f t="shared" si="27"/>
        <v>1650</v>
      </c>
      <c r="AP91" s="51">
        <f t="shared" si="28"/>
        <v>2200</v>
      </c>
      <c r="AQ91" s="51">
        <f t="shared" si="29"/>
        <v>2200</v>
      </c>
      <c r="AR91" s="51">
        <f t="shared" si="30"/>
        <v>1375</v>
      </c>
      <c r="AS91" s="51">
        <f t="shared" si="31"/>
        <v>0</v>
      </c>
      <c r="AT91" s="51">
        <f t="shared" si="39"/>
        <v>9075</v>
      </c>
      <c r="AU91" s="54">
        <f t="shared" si="32"/>
        <v>1650</v>
      </c>
      <c r="AV91" s="54">
        <f t="shared" si="33"/>
        <v>1925</v>
      </c>
      <c r="AW91" s="54">
        <f t="shared" si="34"/>
        <v>2200</v>
      </c>
      <c r="AX91" s="54">
        <f t="shared" si="35"/>
        <v>1925</v>
      </c>
      <c r="AY91" s="54">
        <f t="shared" si="36"/>
        <v>1925</v>
      </c>
      <c r="AZ91" s="54">
        <f t="shared" si="37"/>
        <v>0</v>
      </c>
      <c r="BA91" s="54">
        <f t="shared" si="38"/>
        <v>9625</v>
      </c>
      <c r="BB91" s="128"/>
    </row>
    <row r="92" spans="1:54">
      <c r="A92" s="170">
        <v>76</v>
      </c>
      <c r="B92" s="171" t="s">
        <v>624</v>
      </c>
      <c r="C92" s="172"/>
      <c r="D92" s="173"/>
      <c r="E92" s="174"/>
      <c r="F92" s="175"/>
      <c r="G92" s="175"/>
      <c r="H92" s="175"/>
      <c r="I92" s="175"/>
      <c r="J92" s="175"/>
      <c r="K92" s="175"/>
      <c r="L92" s="175">
        <f t="shared" si="20"/>
        <v>0</v>
      </c>
      <c r="M92" s="176"/>
      <c r="N92" s="176"/>
      <c r="O92" s="176"/>
      <c r="P92" s="176"/>
      <c r="Q92" s="176"/>
      <c r="R92" s="176"/>
      <c r="S92" s="176">
        <f t="shared" si="21"/>
        <v>0</v>
      </c>
      <c r="T92" s="177">
        <v>0</v>
      </c>
      <c r="U92" s="177">
        <v>0</v>
      </c>
      <c r="V92" s="178">
        <v>0</v>
      </c>
      <c r="W92" s="178">
        <v>0</v>
      </c>
      <c r="X92" s="178">
        <v>1</v>
      </c>
      <c r="Y92" s="179">
        <v>0</v>
      </c>
      <c r="Z92" s="178">
        <v>0</v>
      </c>
      <c r="AA92" s="136">
        <f t="shared" si="22"/>
        <v>1</v>
      </c>
      <c r="AB92" s="180">
        <v>0</v>
      </c>
      <c r="AC92" s="180">
        <v>0</v>
      </c>
      <c r="AD92" s="180">
        <v>0</v>
      </c>
      <c r="AE92" s="180">
        <v>0</v>
      </c>
      <c r="AF92" s="181">
        <v>0</v>
      </c>
      <c r="AG92" s="180">
        <v>0</v>
      </c>
      <c r="AH92" s="139">
        <f t="shared" si="23"/>
        <v>0</v>
      </c>
      <c r="AI92" s="144" t="s">
        <v>572</v>
      </c>
      <c r="AJ92" s="141">
        <v>275</v>
      </c>
      <c r="AK92" s="141">
        <v>0</v>
      </c>
      <c r="AL92" s="142">
        <f t="shared" si="24"/>
        <v>275</v>
      </c>
      <c r="AM92" s="51">
        <f t="shared" si="25"/>
        <v>0</v>
      </c>
      <c r="AN92" s="51">
        <f t="shared" si="26"/>
        <v>0</v>
      </c>
      <c r="AO92" s="51">
        <f t="shared" si="27"/>
        <v>0</v>
      </c>
      <c r="AP92" s="51">
        <f t="shared" si="28"/>
        <v>0</v>
      </c>
      <c r="AQ92" s="51">
        <f t="shared" si="29"/>
        <v>275</v>
      </c>
      <c r="AR92" s="51">
        <f t="shared" si="30"/>
        <v>0</v>
      </c>
      <c r="AS92" s="51">
        <f t="shared" si="31"/>
        <v>0</v>
      </c>
      <c r="AT92" s="51">
        <f t="shared" si="39"/>
        <v>275</v>
      </c>
      <c r="AU92" s="54">
        <f t="shared" si="32"/>
        <v>0</v>
      </c>
      <c r="AV92" s="54">
        <f t="shared" si="33"/>
        <v>0</v>
      </c>
      <c r="AW92" s="54">
        <f t="shared" si="34"/>
        <v>0</v>
      </c>
      <c r="AX92" s="54">
        <f t="shared" si="35"/>
        <v>0</v>
      </c>
      <c r="AY92" s="54">
        <f t="shared" si="36"/>
        <v>0</v>
      </c>
      <c r="AZ92" s="54">
        <f t="shared" si="37"/>
        <v>0</v>
      </c>
      <c r="BA92" s="54">
        <f t="shared" si="38"/>
        <v>0</v>
      </c>
      <c r="BB92" s="128"/>
    </row>
    <row r="93" spans="1:54">
      <c r="A93" s="170">
        <v>77</v>
      </c>
      <c r="B93" s="171" t="s">
        <v>625</v>
      </c>
      <c r="C93" s="172"/>
      <c r="D93" s="173"/>
      <c r="E93" s="174"/>
      <c r="F93" s="175"/>
      <c r="G93" s="175"/>
      <c r="H93" s="175"/>
      <c r="I93" s="175"/>
      <c r="J93" s="175"/>
      <c r="K93" s="175"/>
      <c r="L93" s="175">
        <f t="shared" si="20"/>
        <v>0</v>
      </c>
      <c r="M93" s="176"/>
      <c r="N93" s="176"/>
      <c r="O93" s="176"/>
      <c r="P93" s="176"/>
      <c r="Q93" s="176"/>
      <c r="R93" s="176"/>
      <c r="S93" s="176">
        <f t="shared" si="21"/>
        <v>0</v>
      </c>
      <c r="T93" s="177">
        <v>0</v>
      </c>
      <c r="U93" s="177">
        <v>0</v>
      </c>
      <c r="V93" s="178">
        <v>4</v>
      </c>
      <c r="W93" s="178">
        <v>5</v>
      </c>
      <c r="X93" s="178">
        <v>5</v>
      </c>
      <c r="Y93" s="179">
        <v>5</v>
      </c>
      <c r="Z93" s="178">
        <v>0</v>
      </c>
      <c r="AA93" s="136">
        <f t="shared" si="22"/>
        <v>19</v>
      </c>
      <c r="AB93" s="180">
        <v>1</v>
      </c>
      <c r="AC93" s="180">
        <v>1</v>
      </c>
      <c r="AD93" s="180">
        <v>1</v>
      </c>
      <c r="AE93" s="180">
        <v>1</v>
      </c>
      <c r="AF93" s="181">
        <v>1</v>
      </c>
      <c r="AG93" s="180">
        <v>1</v>
      </c>
      <c r="AH93" s="139">
        <f t="shared" si="23"/>
        <v>6</v>
      </c>
      <c r="AI93" s="144" t="s">
        <v>572</v>
      </c>
      <c r="AJ93" s="141">
        <v>375</v>
      </c>
      <c r="AK93" s="141">
        <v>1500</v>
      </c>
      <c r="AL93" s="142">
        <f t="shared" si="24"/>
        <v>1875</v>
      </c>
      <c r="AM93" s="51">
        <f t="shared" si="25"/>
        <v>0</v>
      </c>
      <c r="AN93" s="51">
        <f t="shared" si="26"/>
        <v>0</v>
      </c>
      <c r="AO93" s="51">
        <f t="shared" si="27"/>
        <v>7500</v>
      </c>
      <c r="AP93" s="51">
        <f t="shared" si="28"/>
        <v>9375</v>
      </c>
      <c r="AQ93" s="51">
        <f t="shared" si="29"/>
        <v>9375</v>
      </c>
      <c r="AR93" s="51">
        <f t="shared" si="30"/>
        <v>9375</v>
      </c>
      <c r="AS93" s="51">
        <f t="shared" si="31"/>
        <v>0</v>
      </c>
      <c r="AT93" s="51">
        <f t="shared" si="39"/>
        <v>35625</v>
      </c>
      <c r="AU93" s="54">
        <f t="shared" si="32"/>
        <v>1875</v>
      </c>
      <c r="AV93" s="54">
        <f t="shared" si="33"/>
        <v>1875</v>
      </c>
      <c r="AW93" s="54">
        <f t="shared" si="34"/>
        <v>1875</v>
      </c>
      <c r="AX93" s="54">
        <f t="shared" si="35"/>
        <v>1875</v>
      </c>
      <c r="AY93" s="54">
        <f t="shared" si="36"/>
        <v>1875</v>
      </c>
      <c r="AZ93" s="54">
        <f t="shared" si="37"/>
        <v>1875</v>
      </c>
      <c r="BA93" s="54">
        <f t="shared" si="38"/>
        <v>11250</v>
      </c>
      <c r="BB93" s="128"/>
    </row>
    <row r="94" spans="1:54">
      <c r="A94" s="170">
        <v>78</v>
      </c>
      <c r="B94" s="171" t="s">
        <v>626</v>
      </c>
      <c r="C94" s="172"/>
      <c r="D94" s="173"/>
      <c r="E94" s="174"/>
      <c r="F94" s="175"/>
      <c r="G94" s="175"/>
      <c r="H94" s="175"/>
      <c r="I94" s="175"/>
      <c r="J94" s="175"/>
      <c r="K94" s="175"/>
      <c r="L94" s="175">
        <f t="shared" si="20"/>
        <v>0</v>
      </c>
      <c r="M94" s="176"/>
      <c r="N94" s="176"/>
      <c r="O94" s="176"/>
      <c r="P94" s="176"/>
      <c r="Q94" s="176"/>
      <c r="R94" s="176"/>
      <c r="S94" s="176">
        <f t="shared" si="21"/>
        <v>0</v>
      </c>
      <c r="T94" s="177">
        <v>0</v>
      </c>
      <c r="U94" s="177">
        <v>0</v>
      </c>
      <c r="V94" s="178">
        <v>0</v>
      </c>
      <c r="W94" s="178">
        <v>0</v>
      </c>
      <c r="X94" s="178">
        <v>0</v>
      </c>
      <c r="Y94" s="179">
        <v>0</v>
      </c>
      <c r="Z94" s="178">
        <v>0</v>
      </c>
      <c r="AA94" s="136">
        <f t="shared" si="22"/>
        <v>0</v>
      </c>
      <c r="AB94" s="180">
        <v>0</v>
      </c>
      <c r="AC94" s="180">
        <v>0</v>
      </c>
      <c r="AD94" s="180">
        <v>0</v>
      </c>
      <c r="AE94" s="180">
        <v>0</v>
      </c>
      <c r="AF94" s="181">
        <v>1</v>
      </c>
      <c r="AG94" s="180">
        <v>0</v>
      </c>
      <c r="AH94" s="139">
        <f t="shared" si="23"/>
        <v>1</v>
      </c>
      <c r="AI94" s="144" t="s">
        <v>572</v>
      </c>
      <c r="AJ94" s="141">
        <v>375</v>
      </c>
      <c r="AK94" s="141">
        <v>1375</v>
      </c>
      <c r="AL94" s="142">
        <f t="shared" si="24"/>
        <v>1750</v>
      </c>
      <c r="AM94" s="51">
        <f t="shared" si="25"/>
        <v>0</v>
      </c>
      <c r="AN94" s="51">
        <f t="shared" si="26"/>
        <v>0</v>
      </c>
      <c r="AO94" s="51">
        <f t="shared" si="27"/>
        <v>0</v>
      </c>
      <c r="AP94" s="51">
        <f t="shared" si="28"/>
        <v>0</v>
      </c>
      <c r="AQ94" s="51">
        <f t="shared" si="29"/>
        <v>0</v>
      </c>
      <c r="AR94" s="51">
        <f t="shared" si="30"/>
        <v>0</v>
      </c>
      <c r="AS94" s="51">
        <f t="shared" si="31"/>
        <v>0</v>
      </c>
      <c r="AT94" s="51">
        <f t="shared" si="39"/>
        <v>0</v>
      </c>
      <c r="AU94" s="54">
        <f t="shared" si="32"/>
        <v>0</v>
      </c>
      <c r="AV94" s="54">
        <f t="shared" si="33"/>
        <v>0</v>
      </c>
      <c r="AW94" s="54">
        <f t="shared" si="34"/>
        <v>0</v>
      </c>
      <c r="AX94" s="54">
        <f t="shared" si="35"/>
        <v>0</v>
      </c>
      <c r="AY94" s="54">
        <f t="shared" si="36"/>
        <v>1750</v>
      </c>
      <c r="AZ94" s="54">
        <f t="shared" si="37"/>
        <v>0</v>
      </c>
      <c r="BA94" s="54">
        <f t="shared" si="38"/>
        <v>1750</v>
      </c>
      <c r="BB94" s="128"/>
    </row>
    <row r="95" spans="1:54">
      <c r="A95" s="170">
        <v>79</v>
      </c>
      <c r="B95" s="171" t="s">
        <v>627</v>
      </c>
      <c r="C95" s="172"/>
      <c r="D95" s="173"/>
      <c r="E95" s="174"/>
      <c r="F95" s="175"/>
      <c r="G95" s="175"/>
      <c r="H95" s="175"/>
      <c r="I95" s="175"/>
      <c r="J95" s="175"/>
      <c r="K95" s="175"/>
      <c r="L95" s="175">
        <f t="shared" si="20"/>
        <v>0</v>
      </c>
      <c r="M95" s="176"/>
      <c r="N95" s="176"/>
      <c r="O95" s="176"/>
      <c r="P95" s="176"/>
      <c r="Q95" s="176"/>
      <c r="R95" s="176"/>
      <c r="S95" s="176">
        <f t="shared" si="21"/>
        <v>0</v>
      </c>
      <c r="T95" s="177">
        <v>0</v>
      </c>
      <c r="U95" s="177">
        <v>4</v>
      </c>
      <c r="V95" s="178">
        <v>0</v>
      </c>
      <c r="W95" s="178">
        <v>0</v>
      </c>
      <c r="X95" s="178">
        <v>0</v>
      </c>
      <c r="Y95" s="179">
        <v>0</v>
      </c>
      <c r="Z95" s="178">
        <v>0</v>
      </c>
      <c r="AA95" s="136">
        <f t="shared" si="22"/>
        <v>4</v>
      </c>
      <c r="AB95" s="180">
        <v>0</v>
      </c>
      <c r="AC95" s="180">
        <v>0</v>
      </c>
      <c r="AD95" s="180">
        <v>0</v>
      </c>
      <c r="AE95" s="180">
        <v>0</v>
      </c>
      <c r="AF95" s="181">
        <v>0</v>
      </c>
      <c r="AG95" s="180">
        <v>0</v>
      </c>
      <c r="AH95" s="139">
        <f t="shared" si="23"/>
        <v>0</v>
      </c>
      <c r="AI95" s="144" t="s">
        <v>572</v>
      </c>
      <c r="AJ95" s="141">
        <v>375</v>
      </c>
      <c r="AK95" s="141">
        <v>1500</v>
      </c>
      <c r="AL95" s="142">
        <f t="shared" si="24"/>
        <v>1875</v>
      </c>
      <c r="AM95" s="51">
        <f t="shared" si="25"/>
        <v>0</v>
      </c>
      <c r="AN95" s="51">
        <f t="shared" si="26"/>
        <v>7500</v>
      </c>
      <c r="AO95" s="51">
        <f t="shared" si="27"/>
        <v>0</v>
      </c>
      <c r="AP95" s="51">
        <f t="shared" si="28"/>
        <v>0</v>
      </c>
      <c r="AQ95" s="51">
        <f t="shared" si="29"/>
        <v>0</v>
      </c>
      <c r="AR95" s="51">
        <f t="shared" si="30"/>
        <v>0</v>
      </c>
      <c r="AS95" s="51">
        <f t="shared" si="31"/>
        <v>0</v>
      </c>
      <c r="AT95" s="51">
        <f t="shared" si="39"/>
        <v>7500</v>
      </c>
      <c r="AU95" s="54">
        <f t="shared" si="32"/>
        <v>0</v>
      </c>
      <c r="AV95" s="54">
        <f t="shared" si="33"/>
        <v>0</v>
      </c>
      <c r="AW95" s="54">
        <f t="shared" si="34"/>
        <v>0</v>
      </c>
      <c r="AX95" s="54">
        <f t="shared" si="35"/>
        <v>0</v>
      </c>
      <c r="AY95" s="54">
        <f t="shared" si="36"/>
        <v>0</v>
      </c>
      <c r="AZ95" s="54">
        <f t="shared" si="37"/>
        <v>0</v>
      </c>
      <c r="BA95" s="54">
        <f t="shared" si="38"/>
        <v>0</v>
      </c>
      <c r="BB95" s="128"/>
    </row>
    <row r="96" spans="1:54">
      <c r="A96" s="170">
        <v>80</v>
      </c>
      <c r="B96" s="171" t="s">
        <v>628</v>
      </c>
      <c r="C96" s="172"/>
      <c r="D96" s="173"/>
      <c r="E96" s="174"/>
      <c r="F96" s="175"/>
      <c r="G96" s="175"/>
      <c r="H96" s="175"/>
      <c r="I96" s="175"/>
      <c r="J96" s="175"/>
      <c r="K96" s="175"/>
      <c r="L96" s="175">
        <f t="shared" si="20"/>
        <v>0</v>
      </c>
      <c r="M96" s="176"/>
      <c r="N96" s="176"/>
      <c r="O96" s="176"/>
      <c r="P96" s="176"/>
      <c r="Q96" s="176"/>
      <c r="R96" s="176"/>
      <c r="S96" s="176">
        <f t="shared" si="21"/>
        <v>0</v>
      </c>
      <c r="T96" s="177">
        <v>0</v>
      </c>
      <c r="U96" s="177">
        <v>0</v>
      </c>
      <c r="V96" s="178">
        <v>0</v>
      </c>
      <c r="W96" s="178">
        <v>0</v>
      </c>
      <c r="X96" s="178">
        <v>0</v>
      </c>
      <c r="Y96" s="179">
        <v>0</v>
      </c>
      <c r="Z96" s="178">
        <v>0</v>
      </c>
      <c r="AA96" s="136">
        <f t="shared" si="22"/>
        <v>0</v>
      </c>
      <c r="AB96" s="180">
        <v>1</v>
      </c>
      <c r="AC96" s="180">
        <v>0</v>
      </c>
      <c r="AD96" s="180">
        <v>0</v>
      </c>
      <c r="AE96" s="180">
        <v>0</v>
      </c>
      <c r="AF96" s="181">
        <v>0</v>
      </c>
      <c r="AG96" s="180">
        <v>0</v>
      </c>
      <c r="AH96" s="139">
        <f t="shared" si="23"/>
        <v>1</v>
      </c>
      <c r="AI96" s="144" t="s">
        <v>572</v>
      </c>
      <c r="AJ96" s="141">
        <v>475</v>
      </c>
      <c r="AK96" s="141">
        <v>1875</v>
      </c>
      <c r="AL96" s="142">
        <f t="shared" si="24"/>
        <v>2350</v>
      </c>
      <c r="AM96" s="51">
        <f t="shared" si="25"/>
        <v>0</v>
      </c>
      <c r="AN96" s="51">
        <f t="shared" si="26"/>
        <v>0</v>
      </c>
      <c r="AO96" s="51">
        <f t="shared" si="27"/>
        <v>0</v>
      </c>
      <c r="AP96" s="51">
        <f t="shared" si="28"/>
        <v>0</v>
      </c>
      <c r="AQ96" s="51">
        <f t="shared" si="29"/>
        <v>0</v>
      </c>
      <c r="AR96" s="51">
        <f t="shared" si="30"/>
        <v>0</v>
      </c>
      <c r="AS96" s="51">
        <f t="shared" si="31"/>
        <v>0</v>
      </c>
      <c r="AT96" s="51">
        <f t="shared" si="39"/>
        <v>0</v>
      </c>
      <c r="AU96" s="54">
        <f t="shared" si="32"/>
        <v>2350</v>
      </c>
      <c r="AV96" s="54">
        <f t="shared" si="33"/>
        <v>0</v>
      </c>
      <c r="AW96" s="54">
        <f t="shared" si="34"/>
        <v>0</v>
      </c>
      <c r="AX96" s="54">
        <f t="shared" si="35"/>
        <v>0</v>
      </c>
      <c r="AY96" s="54">
        <f t="shared" si="36"/>
        <v>0</v>
      </c>
      <c r="AZ96" s="54">
        <f t="shared" si="37"/>
        <v>0</v>
      </c>
      <c r="BA96" s="54">
        <f t="shared" si="38"/>
        <v>2350</v>
      </c>
      <c r="BB96" s="128"/>
    </row>
    <row r="97" spans="1:54">
      <c r="A97" s="170">
        <v>81</v>
      </c>
      <c r="B97" s="171" t="s">
        <v>629</v>
      </c>
      <c r="C97" s="172"/>
      <c r="D97" s="173"/>
      <c r="E97" s="174"/>
      <c r="F97" s="175"/>
      <c r="G97" s="175"/>
      <c r="H97" s="175"/>
      <c r="I97" s="175"/>
      <c r="J97" s="175"/>
      <c r="K97" s="175"/>
      <c r="L97" s="175">
        <f t="shared" si="20"/>
        <v>0</v>
      </c>
      <c r="M97" s="176"/>
      <c r="N97" s="176"/>
      <c r="O97" s="176"/>
      <c r="P97" s="176"/>
      <c r="Q97" s="176"/>
      <c r="R97" s="176"/>
      <c r="S97" s="176">
        <f t="shared" si="21"/>
        <v>0</v>
      </c>
      <c r="T97" s="177">
        <v>0</v>
      </c>
      <c r="U97" s="177">
        <v>2</v>
      </c>
      <c r="V97" s="178">
        <v>0</v>
      </c>
      <c r="W97" s="178">
        <v>0</v>
      </c>
      <c r="X97" s="178">
        <v>0</v>
      </c>
      <c r="Y97" s="179">
        <v>0</v>
      </c>
      <c r="Z97" s="178">
        <v>0</v>
      </c>
      <c r="AA97" s="136">
        <f t="shared" si="22"/>
        <v>2</v>
      </c>
      <c r="AB97" s="180">
        <v>0</v>
      </c>
      <c r="AC97" s="180">
        <v>0</v>
      </c>
      <c r="AD97" s="180">
        <v>0</v>
      </c>
      <c r="AE97" s="180">
        <v>0</v>
      </c>
      <c r="AF97" s="181">
        <v>0</v>
      </c>
      <c r="AG97" s="180">
        <v>0</v>
      </c>
      <c r="AH97" s="139">
        <f t="shared" si="23"/>
        <v>0</v>
      </c>
      <c r="AI97" s="144" t="s">
        <v>572</v>
      </c>
      <c r="AJ97" s="141">
        <v>87.5</v>
      </c>
      <c r="AK97" s="141">
        <v>375</v>
      </c>
      <c r="AL97" s="142">
        <f t="shared" si="24"/>
        <v>462.5</v>
      </c>
      <c r="AM97" s="51">
        <f t="shared" si="25"/>
        <v>0</v>
      </c>
      <c r="AN97" s="51">
        <f t="shared" si="26"/>
        <v>925</v>
      </c>
      <c r="AO97" s="51">
        <f t="shared" si="27"/>
        <v>0</v>
      </c>
      <c r="AP97" s="51">
        <f t="shared" si="28"/>
        <v>0</v>
      </c>
      <c r="AQ97" s="51">
        <f t="shared" si="29"/>
        <v>0</v>
      </c>
      <c r="AR97" s="51">
        <f t="shared" si="30"/>
        <v>0</v>
      </c>
      <c r="AS97" s="51">
        <f t="shared" si="31"/>
        <v>0</v>
      </c>
      <c r="AT97" s="51">
        <f t="shared" si="39"/>
        <v>925</v>
      </c>
      <c r="AU97" s="54">
        <f t="shared" si="32"/>
        <v>0</v>
      </c>
      <c r="AV97" s="54">
        <f t="shared" si="33"/>
        <v>0</v>
      </c>
      <c r="AW97" s="54">
        <f t="shared" si="34"/>
        <v>0</v>
      </c>
      <c r="AX97" s="54">
        <f t="shared" si="35"/>
        <v>0</v>
      </c>
      <c r="AY97" s="54">
        <f t="shared" si="36"/>
        <v>0</v>
      </c>
      <c r="AZ97" s="54">
        <f t="shared" si="37"/>
        <v>0</v>
      </c>
      <c r="BA97" s="54">
        <f t="shared" si="38"/>
        <v>0</v>
      </c>
      <c r="BB97" s="128"/>
    </row>
    <row r="98" spans="1:54">
      <c r="A98" s="170">
        <v>82</v>
      </c>
      <c r="B98" s="171" t="s">
        <v>630</v>
      </c>
      <c r="C98" s="172"/>
      <c r="D98" s="173"/>
      <c r="E98" s="174"/>
      <c r="F98" s="175"/>
      <c r="G98" s="175"/>
      <c r="H98" s="175"/>
      <c r="I98" s="175"/>
      <c r="J98" s="175"/>
      <c r="K98" s="175"/>
      <c r="L98" s="175">
        <f t="shared" si="20"/>
        <v>0</v>
      </c>
      <c r="M98" s="176"/>
      <c r="N98" s="176"/>
      <c r="O98" s="176"/>
      <c r="P98" s="176"/>
      <c r="Q98" s="176"/>
      <c r="R98" s="176"/>
      <c r="S98" s="176">
        <f t="shared" si="21"/>
        <v>0</v>
      </c>
      <c r="T98" s="177">
        <v>0</v>
      </c>
      <c r="U98" s="177">
        <v>0</v>
      </c>
      <c r="V98" s="178">
        <v>0</v>
      </c>
      <c r="W98" s="178">
        <v>0</v>
      </c>
      <c r="X98" s="178">
        <v>0</v>
      </c>
      <c r="Y98" s="179">
        <v>0</v>
      </c>
      <c r="Z98" s="178">
        <v>0</v>
      </c>
      <c r="AA98" s="136">
        <f t="shared" si="22"/>
        <v>0</v>
      </c>
      <c r="AB98" s="180">
        <v>0</v>
      </c>
      <c r="AC98" s="180">
        <v>1</v>
      </c>
      <c r="AD98" s="180">
        <v>1</v>
      </c>
      <c r="AE98" s="180">
        <v>1</v>
      </c>
      <c r="AF98" s="181">
        <v>1</v>
      </c>
      <c r="AG98" s="180">
        <v>0</v>
      </c>
      <c r="AH98" s="139">
        <f t="shared" si="23"/>
        <v>4</v>
      </c>
      <c r="AI98" s="144" t="s">
        <v>572</v>
      </c>
      <c r="AJ98" s="141">
        <v>87.5</v>
      </c>
      <c r="AK98" s="141">
        <v>437.5</v>
      </c>
      <c r="AL98" s="142">
        <f t="shared" si="24"/>
        <v>525</v>
      </c>
      <c r="AM98" s="51">
        <f t="shared" si="25"/>
        <v>0</v>
      </c>
      <c r="AN98" s="51">
        <f t="shared" si="26"/>
        <v>0</v>
      </c>
      <c r="AO98" s="51">
        <f t="shared" si="27"/>
        <v>0</v>
      </c>
      <c r="AP98" s="51">
        <f t="shared" si="28"/>
        <v>0</v>
      </c>
      <c r="AQ98" s="51">
        <f t="shared" si="29"/>
        <v>0</v>
      </c>
      <c r="AR98" s="51">
        <f t="shared" si="30"/>
        <v>0</v>
      </c>
      <c r="AS98" s="51">
        <f t="shared" si="31"/>
        <v>0</v>
      </c>
      <c r="AT98" s="51">
        <f t="shared" si="39"/>
        <v>0</v>
      </c>
      <c r="AU98" s="54">
        <f t="shared" si="32"/>
        <v>0</v>
      </c>
      <c r="AV98" s="54">
        <f t="shared" si="33"/>
        <v>525</v>
      </c>
      <c r="AW98" s="54">
        <f t="shared" si="34"/>
        <v>525</v>
      </c>
      <c r="AX98" s="54">
        <f t="shared" si="35"/>
        <v>525</v>
      </c>
      <c r="AY98" s="54">
        <f t="shared" si="36"/>
        <v>525</v>
      </c>
      <c r="AZ98" s="54">
        <f t="shared" si="37"/>
        <v>0</v>
      </c>
      <c r="BA98" s="54">
        <f t="shared" si="38"/>
        <v>2100</v>
      </c>
      <c r="BB98" s="128"/>
    </row>
    <row r="99" spans="1:54">
      <c r="A99" s="170">
        <v>83</v>
      </c>
      <c r="B99" s="171" t="s">
        <v>631</v>
      </c>
      <c r="C99" s="172"/>
      <c r="D99" s="173"/>
      <c r="E99" s="174"/>
      <c r="F99" s="175"/>
      <c r="G99" s="175"/>
      <c r="H99" s="175"/>
      <c r="I99" s="175"/>
      <c r="J99" s="175"/>
      <c r="K99" s="175"/>
      <c r="L99" s="175">
        <f t="shared" si="20"/>
        <v>0</v>
      </c>
      <c r="M99" s="176"/>
      <c r="N99" s="176"/>
      <c r="O99" s="176"/>
      <c r="P99" s="176"/>
      <c r="Q99" s="176"/>
      <c r="R99" s="176"/>
      <c r="S99" s="176">
        <f t="shared" si="21"/>
        <v>0</v>
      </c>
      <c r="T99" s="177">
        <v>0</v>
      </c>
      <c r="U99" s="177">
        <v>0</v>
      </c>
      <c r="V99" s="178">
        <v>0</v>
      </c>
      <c r="W99" s="178">
        <v>0</v>
      </c>
      <c r="X99" s="178">
        <v>0</v>
      </c>
      <c r="Y99" s="179">
        <v>1</v>
      </c>
      <c r="Z99" s="178">
        <v>0</v>
      </c>
      <c r="AA99" s="136">
        <f t="shared" si="22"/>
        <v>1</v>
      </c>
      <c r="AB99" s="180">
        <v>1</v>
      </c>
      <c r="AC99" s="180">
        <v>0</v>
      </c>
      <c r="AD99" s="180">
        <v>1</v>
      </c>
      <c r="AE99" s="180">
        <v>0</v>
      </c>
      <c r="AF99" s="181">
        <v>0</v>
      </c>
      <c r="AG99" s="180">
        <v>0</v>
      </c>
      <c r="AH99" s="139">
        <f t="shared" si="23"/>
        <v>2</v>
      </c>
      <c r="AI99" s="144" t="s">
        <v>572</v>
      </c>
      <c r="AJ99" s="141">
        <v>375</v>
      </c>
      <c r="AK99" s="141">
        <v>1437.5</v>
      </c>
      <c r="AL99" s="142">
        <f t="shared" si="24"/>
        <v>1812.5</v>
      </c>
      <c r="AM99" s="51">
        <f t="shared" si="25"/>
        <v>0</v>
      </c>
      <c r="AN99" s="51">
        <f t="shared" si="26"/>
        <v>0</v>
      </c>
      <c r="AO99" s="51">
        <f t="shared" si="27"/>
        <v>0</v>
      </c>
      <c r="AP99" s="51">
        <f t="shared" si="28"/>
        <v>0</v>
      </c>
      <c r="AQ99" s="51">
        <f t="shared" si="29"/>
        <v>0</v>
      </c>
      <c r="AR99" s="51">
        <f t="shared" si="30"/>
        <v>1812.5</v>
      </c>
      <c r="AS99" s="51">
        <f t="shared" si="31"/>
        <v>0</v>
      </c>
      <c r="AT99" s="51">
        <f t="shared" si="39"/>
        <v>1812.5</v>
      </c>
      <c r="AU99" s="54">
        <f t="shared" si="32"/>
        <v>1812.5</v>
      </c>
      <c r="AV99" s="54">
        <f t="shared" si="33"/>
        <v>0</v>
      </c>
      <c r="AW99" s="54">
        <f t="shared" si="34"/>
        <v>1812.5</v>
      </c>
      <c r="AX99" s="54">
        <f t="shared" si="35"/>
        <v>0</v>
      </c>
      <c r="AY99" s="54">
        <f t="shared" si="36"/>
        <v>0</v>
      </c>
      <c r="AZ99" s="54">
        <f t="shared" si="37"/>
        <v>0</v>
      </c>
      <c r="BA99" s="54">
        <f t="shared" si="38"/>
        <v>3625</v>
      </c>
      <c r="BB99" s="128"/>
    </row>
    <row r="100" spans="1:54">
      <c r="A100" s="170">
        <v>84</v>
      </c>
      <c r="B100" s="171" t="s">
        <v>632</v>
      </c>
      <c r="C100" s="172"/>
      <c r="D100" s="173"/>
      <c r="E100" s="174"/>
      <c r="F100" s="175"/>
      <c r="G100" s="175"/>
      <c r="H100" s="175"/>
      <c r="I100" s="175"/>
      <c r="J100" s="175"/>
      <c r="K100" s="175"/>
      <c r="L100" s="175">
        <f t="shared" si="20"/>
        <v>0</v>
      </c>
      <c r="M100" s="176"/>
      <c r="N100" s="176"/>
      <c r="O100" s="176"/>
      <c r="P100" s="176"/>
      <c r="Q100" s="176"/>
      <c r="R100" s="176"/>
      <c r="S100" s="176">
        <f t="shared" si="21"/>
        <v>0</v>
      </c>
      <c r="T100" s="177">
        <v>0</v>
      </c>
      <c r="U100" s="177">
        <v>1</v>
      </c>
      <c r="V100" s="178">
        <v>1</v>
      </c>
      <c r="W100" s="178">
        <v>1</v>
      </c>
      <c r="X100" s="178">
        <v>1</v>
      </c>
      <c r="Y100" s="179">
        <v>0</v>
      </c>
      <c r="Z100" s="178">
        <v>0</v>
      </c>
      <c r="AA100" s="136">
        <f t="shared" si="22"/>
        <v>4</v>
      </c>
      <c r="AB100" s="180">
        <v>0</v>
      </c>
      <c r="AC100" s="180">
        <v>0</v>
      </c>
      <c r="AD100" s="180">
        <v>0</v>
      </c>
      <c r="AE100" s="180">
        <v>0</v>
      </c>
      <c r="AF100" s="181">
        <v>0</v>
      </c>
      <c r="AG100" s="180">
        <v>0</v>
      </c>
      <c r="AH100" s="139">
        <f t="shared" si="23"/>
        <v>0</v>
      </c>
      <c r="AI100" s="144" t="s">
        <v>572</v>
      </c>
      <c r="AJ100" s="141">
        <v>375</v>
      </c>
      <c r="AK100" s="141">
        <v>1500</v>
      </c>
      <c r="AL100" s="142">
        <f t="shared" si="24"/>
        <v>1875</v>
      </c>
      <c r="AM100" s="51">
        <f t="shared" si="25"/>
        <v>0</v>
      </c>
      <c r="AN100" s="51">
        <f t="shared" si="26"/>
        <v>1875</v>
      </c>
      <c r="AO100" s="51">
        <f t="shared" si="27"/>
        <v>1875</v>
      </c>
      <c r="AP100" s="51">
        <f t="shared" si="28"/>
        <v>1875</v>
      </c>
      <c r="AQ100" s="51">
        <f t="shared" si="29"/>
        <v>1875</v>
      </c>
      <c r="AR100" s="51">
        <f t="shared" si="30"/>
        <v>0</v>
      </c>
      <c r="AS100" s="51">
        <f t="shared" si="31"/>
        <v>0</v>
      </c>
      <c r="AT100" s="51">
        <f t="shared" si="39"/>
        <v>7500</v>
      </c>
      <c r="AU100" s="54">
        <f t="shared" si="32"/>
        <v>0</v>
      </c>
      <c r="AV100" s="54">
        <f t="shared" si="33"/>
        <v>0</v>
      </c>
      <c r="AW100" s="54">
        <f t="shared" si="34"/>
        <v>0</v>
      </c>
      <c r="AX100" s="54">
        <f t="shared" si="35"/>
        <v>0</v>
      </c>
      <c r="AY100" s="54">
        <f t="shared" si="36"/>
        <v>0</v>
      </c>
      <c r="AZ100" s="54">
        <f t="shared" si="37"/>
        <v>0</v>
      </c>
      <c r="BA100" s="54">
        <f t="shared" si="38"/>
        <v>0</v>
      </c>
      <c r="BB100" s="128"/>
    </row>
    <row r="101" spans="1:54">
      <c r="A101" s="170">
        <v>85</v>
      </c>
      <c r="B101" s="171" t="s">
        <v>633</v>
      </c>
      <c r="C101" s="172"/>
      <c r="D101" s="173"/>
      <c r="E101" s="174"/>
      <c r="F101" s="175"/>
      <c r="G101" s="175"/>
      <c r="H101" s="175"/>
      <c r="I101" s="175"/>
      <c r="J101" s="175"/>
      <c r="K101" s="175"/>
      <c r="L101" s="175">
        <f t="shared" si="20"/>
        <v>0</v>
      </c>
      <c r="M101" s="176"/>
      <c r="N101" s="176"/>
      <c r="O101" s="176"/>
      <c r="P101" s="176"/>
      <c r="Q101" s="176"/>
      <c r="R101" s="176"/>
      <c r="S101" s="176">
        <f t="shared" si="21"/>
        <v>0</v>
      </c>
      <c r="T101" s="177">
        <v>0</v>
      </c>
      <c r="U101" s="177">
        <v>0</v>
      </c>
      <c r="V101" s="178">
        <v>0</v>
      </c>
      <c r="W101" s="178">
        <v>0</v>
      </c>
      <c r="X101" s="178">
        <v>0</v>
      </c>
      <c r="Y101" s="179">
        <v>0</v>
      </c>
      <c r="Z101" s="178">
        <v>0</v>
      </c>
      <c r="AA101" s="136">
        <f t="shared" si="22"/>
        <v>0</v>
      </c>
      <c r="AB101" s="180">
        <v>3</v>
      </c>
      <c r="AC101" s="180">
        <v>0</v>
      </c>
      <c r="AD101" s="180">
        <v>0</v>
      </c>
      <c r="AE101" s="180">
        <v>0</v>
      </c>
      <c r="AF101" s="181">
        <v>0</v>
      </c>
      <c r="AG101" s="180">
        <v>0</v>
      </c>
      <c r="AH101" s="139">
        <f t="shared" si="23"/>
        <v>3</v>
      </c>
      <c r="AI101" s="144" t="s">
        <v>572</v>
      </c>
      <c r="AJ101" s="141">
        <v>375</v>
      </c>
      <c r="AK101" s="141">
        <v>1625</v>
      </c>
      <c r="AL101" s="142">
        <f t="shared" si="24"/>
        <v>2000</v>
      </c>
      <c r="AM101" s="51">
        <f t="shared" si="25"/>
        <v>0</v>
      </c>
      <c r="AN101" s="51">
        <f t="shared" si="26"/>
        <v>0</v>
      </c>
      <c r="AO101" s="51">
        <f t="shared" si="27"/>
        <v>0</v>
      </c>
      <c r="AP101" s="51">
        <f t="shared" si="28"/>
        <v>0</v>
      </c>
      <c r="AQ101" s="51">
        <f t="shared" si="29"/>
        <v>0</v>
      </c>
      <c r="AR101" s="51">
        <f t="shared" si="30"/>
        <v>0</v>
      </c>
      <c r="AS101" s="51">
        <f t="shared" si="31"/>
        <v>0</v>
      </c>
      <c r="AT101" s="51">
        <f t="shared" si="39"/>
        <v>0</v>
      </c>
      <c r="AU101" s="54">
        <f t="shared" si="32"/>
        <v>6000</v>
      </c>
      <c r="AV101" s="54">
        <f t="shared" si="33"/>
        <v>0</v>
      </c>
      <c r="AW101" s="54">
        <f t="shared" si="34"/>
        <v>0</v>
      </c>
      <c r="AX101" s="54">
        <f t="shared" si="35"/>
        <v>0</v>
      </c>
      <c r="AY101" s="54">
        <f t="shared" si="36"/>
        <v>0</v>
      </c>
      <c r="AZ101" s="54">
        <f t="shared" si="37"/>
        <v>0</v>
      </c>
      <c r="BA101" s="54">
        <f t="shared" si="38"/>
        <v>6000</v>
      </c>
      <c r="BB101" s="128"/>
    </row>
    <row r="102" spans="1:54">
      <c r="A102" s="170">
        <v>86</v>
      </c>
      <c r="B102" s="171" t="s">
        <v>634</v>
      </c>
      <c r="C102" s="172"/>
      <c r="D102" s="173"/>
      <c r="E102" s="174"/>
      <c r="F102" s="175"/>
      <c r="G102" s="175"/>
      <c r="H102" s="175"/>
      <c r="I102" s="175"/>
      <c r="J102" s="175"/>
      <c r="K102" s="175"/>
      <c r="L102" s="175">
        <f t="shared" si="20"/>
        <v>0</v>
      </c>
      <c r="M102" s="176"/>
      <c r="N102" s="176"/>
      <c r="O102" s="176"/>
      <c r="P102" s="176"/>
      <c r="Q102" s="176"/>
      <c r="R102" s="176"/>
      <c r="S102" s="176">
        <f t="shared" si="21"/>
        <v>0</v>
      </c>
      <c r="T102" s="177">
        <v>0</v>
      </c>
      <c r="U102" s="177">
        <v>0</v>
      </c>
      <c r="V102" s="178">
        <v>3</v>
      </c>
      <c r="W102" s="178">
        <v>3</v>
      </c>
      <c r="X102" s="178">
        <v>3</v>
      </c>
      <c r="Y102" s="179">
        <v>1</v>
      </c>
      <c r="Z102" s="178">
        <v>0</v>
      </c>
      <c r="AA102" s="136">
        <f t="shared" si="22"/>
        <v>10</v>
      </c>
      <c r="AB102" s="180">
        <v>0</v>
      </c>
      <c r="AC102" s="180">
        <v>0</v>
      </c>
      <c r="AD102" s="180">
        <v>0</v>
      </c>
      <c r="AE102" s="180">
        <v>0</v>
      </c>
      <c r="AF102" s="181">
        <v>0</v>
      </c>
      <c r="AG102" s="180">
        <v>0</v>
      </c>
      <c r="AH102" s="139">
        <f t="shared" si="23"/>
        <v>0</v>
      </c>
      <c r="AI102" s="144" t="s">
        <v>572</v>
      </c>
      <c r="AJ102" s="141">
        <v>68.75</v>
      </c>
      <c r="AK102" s="141">
        <v>337.5</v>
      </c>
      <c r="AL102" s="142">
        <f t="shared" si="24"/>
        <v>406.25</v>
      </c>
      <c r="AM102" s="51">
        <f t="shared" si="25"/>
        <v>0</v>
      </c>
      <c r="AN102" s="51">
        <f t="shared" si="26"/>
        <v>0</v>
      </c>
      <c r="AO102" s="51">
        <f t="shared" si="27"/>
        <v>1218.75</v>
      </c>
      <c r="AP102" s="51">
        <f t="shared" si="28"/>
        <v>1218.75</v>
      </c>
      <c r="AQ102" s="51">
        <f t="shared" si="29"/>
        <v>1218.75</v>
      </c>
      <c r="AR102" s="51">
        <f t="shared" si="30"/>
        <v>406.25</v>
      </c>
      <c r="AS102" s="51">
        <f t="shared" si="31"/>
        <v>0</v>
      </c>
      <c r="AT102" s="51">
        <f t="shared" si="39"/>
        <v>4062.5</v>
      </c>
      <c r="AU102" s="54">
        <f t="shared" si="32"/>
        <v>0</v>
      </c>
      <c r="AV102" s="54">
        <f t="shared" si="33"/>
        <v>0</v>
      </c>
      <c r="AW102" s="54">
        <f t="shared" si="34"/>
        <v>0</v>
      </c>
      <c r="AX102" s="54">
        <f t="shared" si="35"/>
        <v>0</v>
      </c>
      <c r="AY102" s="54">
        <f t="shared" si="36"/>
        <v>0</v>
      </c>
      <c r="AZ102" s="54">
        <f t="shared" si="37"/>
        <v>0</v>
      </c>
      <c r="BA102" s="54">
        <f t="shared" si="38"/>
        <v>0</v>
      </c>
      <c r="BB102" s="128"/>
    </row>
    <row r="103" spans="1:54">
      <c r="A103" s="170">
        <v>87</v>
      </c>
      <c r="B103" s="171" t="s">
        <v>635</v>
      </c>
      <c r="C103" s="172"/>
      <c r="D103" s="173"/>
      <c r="E103" s="174"/>
      <c r="F103" s="175"/>
      <c r="G103" s="175"/>
      <c r="H103" s="175"/>
      <c r="I103" s="175"/>
      <c r="J103" s="175"/>
      <c r="K103" s="175"/>
      <c r="L103" s="175">
        <f t="shared" si="20"/>
        <v>0</v>
      </c>
      <c r="M103" s="176"/>
      <c r="N103" s="176"/>
      <c r="O103" s="176"/>
      <c r="P103" s="176"/>
      <c r="Q103" s="176"/>
      <c r="R103" s="176"/>
      <c r="S103" s="176">
        <f t="shared" si="21"/>
        <v>0</v>
      </c>
      <c r="T103" s="177">
        <v>0</v>
      </c>
      <c r="U103" s="177">
        <v>7</v>
      </c>
      <c r="V103" s="178">
        <v>6</v>
      </c>
      <c r="W103" s="178">
        <v>7</v>
      </c>
      <c r="X103" s="178">
        <v>5</v>
      </c>
      <c r="Y103" s="179">
        <v>11</v>
      </c>
      <c r="Z103" s="178">
        <v>0</v>
      </c>
      <c r="AA103" s="136">
        <f t="shared" si="22"/>
        <v>36</v>
      </c>
      <c r="AB103" s="180">
        <v>15</v>
      </c>
      <c r="AC103" s="180">
        <v>21</v>
      </c>
      <c r="AD103" s="180">
        <v>19</v>
      </c>
      <c r="AE103" s="180">
        <v>23</v>
      </c>
      <c r="AF103" s="181">
        <v>14</v>
      </c>
      <c r="AG103" s="180">
        <v>0</v>
      </c>
      <c r="AH103" s="139">
        <f t="shared" si="23"/>
        <v>92</v>
      </c>
      <c r="AI103" s="144" t="s">
        <v>572</v>
      </c>
      <c r="AJ103" s="141">
        <v>87.5</v>
      </c>
      <c r="AK103" s="141">
        <v>375</v>
      </c>
      <c r="AL103" s="142">
        <f t="shared" si="24"/>
        <v>462.5</v>
      </c>
      <c r="AM103" s="51">
        <f t="shared" si="25"/>
        <v>0</v>
      </c>
      <c r="AN103" s="51">
        <f t="shared" si="26"/>
        <v>3237.5</v>
      </c>
      <c r="AO103" s="51">
        <f t="shared" si="27"/>
        <v>2775</v>
      </c>
      <c r="AP103" s="51">
        <f t="shared" si="28"/>
        <v>3237.5</v>
      </c>
      <c r="AQ103" s="51">
        <f t="shared" si="29"/>
        <v>2312.5</v>
      </c>
      <c r="AR103" s="51">
        <f t="shared" si="30"/>
        <v>5087.5</v>
      </c>
      <c r="AS103" s="51">
        <f t="shared" si="31"/>
        <v>0</v>
      </c>
      <c r="AT103" s="51">
        <f t="shared" si="39"/>
        <v>16650</v>
      </c>
      <c r="AU103" s="54">
        <f t="shared" si="32"/>
        <v>6937.5</v>
      </c>
      <c r="AV103" s="54">
        <f t="shared" si="33"/>
        <v>9712.5</v>
      </c>
      <c r="AW103" s="54">
        <f t="shared" si="34"/>
        <v>8787.5</v>
      </c>
      <c r="AX103" s="54">
        <f t="shared" si="35"/>
        <v>10637.5</v>
      </c>
      <c r="AY103" s="54">
        <f t="shared" si="36"/>
        <v>6475</v>
      </c>
      <c r="AZ103" s="54">
        <f t="shared" si="37"/>
        <v>0</v>
      </c>
      <c r="BA103" s="54">
        <f t="shared" si="38"/>
        <v>42550</v>
      </c>
      <c r="BB103" s="128"/>
    </row>
    <row r="104" spans="1:54">
      <c r="A104" s="170">
        <v>88</v>
      </c>
      <c r="B104" s="171" t="s">
        <v>636</v>
      </c>
      <c r="C104" s="172"/>
      <c r="D104" s="173"/>
      <c r="E104" s="174"/>
      <c r="F104" s="175"/>
      <c r="G104" s="175"/>
      <c r="H104" s="175"/>
      <c r="I104" s="175"/>
      <c r="J104" s="175"/>
      <c r="K104" s="175"/>
      <c r="L104" s="175">
        <f t="shared" si="20"/>
        <v>0</v>
      </c>
      <c r="M104" s="176"/>
      <c r="N104" s="176"/>
      <c r="O104" s="176"/>
      <c r="P104" s="176"/>
      <c r="Q104" s="176"/>
      <c r="R104" s="176"/>
      <c r="S104" s="176">
        <f t="shared" si="21"/>
        <v>0</v>
      </c>
      <c r="T104" s="177">
        <v>0</v>
      </c>
      <c r="U104" s="177">
        <v>5</v>
      </c>
      <c r="V104" s="178">
        <v>4</v>
      </c>
      <c r="W104" s="178">
        <v>5</v>
      </c>
      <c r="X104" s="178">
        <v>4</v>
      </c>
      <c r="Y104" s="179">
        <v>2</v>
      </c>
      <c r="Z104" s="178">
        <v>0</v>
      </c>
      <c r="AA104" s="136">
        <f t="shared" si="22"/>
        <v>20</v>
      </c>
      <c r="AB104" s="180">
        <v>1</v>
      </c>
      <c r="AC104" s="180">
        <v>2</v>
      </c>
      <c r="AD104" s="180">
        <v>5</v>
      </c>
      <c r="AE104" s="180">
        <v>2</v>
      </c>
      <c r="AF104" s="181">
        <v>3</v>
      </c>
      <c r="AG104" s="180">
        <v>0</v>
      </c>
      <c r="AH104" s="139">
        <f t="shared" si="23"/>
        <v>13</v>
      </c>
      <c r="AI104" s="144" t="s">
        <v>572</v>
      </c>
      <c r="AJ104" s="141">
        <v>125</v>
      </c>
      <c r="AK104" s="141">
        <v>750</v>
      </c>
      <c r="AL104" s="142">
        <f t="shared" si="24"/>
        <v>875</v>
      </c>
      <c r="AM104" s="51">
        <f t="shared" si="25"/>
        <v>0</v>
      </c>
      <c r="AN104" s="51">
        <f t="shared" si="26"/>
        <v>4375</v>
      </c>
      <c r="AO104" s="51">
        <f t="shared" si="27"/>
        <v>3500</v>
      </c>
      <c r="AP104" s="51">
        <f t="shared" si="28"/>
        <v>4375</v>
      </c>
      <c r="AQ104" s="51">
        <f t="shared" si="29"/>
        <v>3500</v>
      </c>
      <c r="AR104" s="51">
        <f t="shared" si="30"/>
        <v>1750</v>
      </c>
      <c r="AS104" s="51">
        <f t="shared" si="31"/>
        <v>0</v>
      </c>
      <c r="AT104" s="51">
        <f t="shared" si="39"/>
        <v>17500</v>
      </c>
      <c r="AU104" s="54">
        <f t="shared" si="32"/>
        <v>875</v>
      </c>
      <c r="AV104" s="54">
        <f t="shared" si="33"/>
        <v>1750</v>
      </c>
      <c r="AW104" s="54">
        <f t="shared" si="34"/>
        <v>4375</v>
      </c>
      <c r="AX104" s="54">
        <f t="shared" si="35"/>
        <v>1750</v>
      </c>
      <c r="AY104" s="54">
        <f t="shared" si="36"/>
        <v>2625</v>
      </c>
      <c r="AZ104" s="54">
        <f t="shared" si="37"/>
        <v>0</v>
      </c>
      <c r="BA104" s="54">
        <f t="shared" si="38"/>
        <v>11375</v>
      </c>
      <c r="BB104" s="128"/>
    </row>
    <row r="105" spans="1:54">
      <c r="A105" s="170">
        <v>89</v>
      </c>
      <c r="B105" s="171" t="s">
        <v>637</v>
      </c>
      <c r="C105" s="172"/>
      <c r="D105" s="173"/>
      <c r="E105" s="174"/>
      <c r="F105" s="175"/>
      <c r="G105" s="175"/>
      <c r="H105" s="175"/>
      <c r="I105" s="175"/>
      <c r="J105" s="175"/>
      <c r="K105" s="175"/>
      <c r="L105" s="175">
        <f t="shared" si="20"/>
        <v>0</v>
      </c>
      <c r="M105" s="176"/>
      <c r="N105" s="176"/>
      <c r="O105" s="176"/>
      <c r="P105" s="176"/>
      <c r="Q105" s="176"/>
      <c r="R105" s="176"/>
      <c r="S105" s="176">
        <f t="shared" si="21"/>
        <v>0</v>
      </c>
      <c r="T105" s="177">
        <v>0</v>
      </c>
      <c r="U105" s="177">
        <v>0</v>
      </c>
      <c r="V105" s="178">
        <v>0</v>
      </c>
      <c r="W105" s="178">
        <v>0</v>
      </c>
      <c r="X105" s="178">
        <v>0</v>
      </c>
      <c r="Y105" s="179">
        <v>0</v>
      </c>
      <c r="Z105" s="178">
        <v>0</v>
      </c>
      <c r="AA105" s="136">
        <f t="shared" si="22"/>
        <v>0</v>
      </c>
      <c r="AB105" s="180">
        <v>0</v>
      </c>
      <c r="AC105" s="180">
        <v>0</v>
      </c>
      <c r="AD105" s="180">
        <v>1</v>
      </c>
      <c r="AE105" s="180">
        <v>0</v>
      </c>
      <c r="AF105" s="181">
        <v>0</v>
      </c>
      <c r="AG105" s="180">
        <v>0</v>
      </c>
      <c r="AH105" s="139">
        <f t="shared" si="23"/>
        <v>1</v>
      </c>
      <c r="AI105" s="144" t="s">
        <v>572</v>
      </c>
      <c r="AJ105" s="141">
        <v>375</v>
      </c>
      <c r="AK105" s="141">
        <v>2250</v>
      </c>
      <c r="AL105" s="142">
        <f t="shared" si="24"/>
        <v>2625</v>
      </c>
      <c r="AM105" s="51">
        <f t="shared" si="25"/>
        <v>0</v>
      </c>
      <c r="AN105" s="51">
        <f t="shared" si="26"/>
        <v>0</v>
      </c>
      <c r="AO105" s="51">
        <f t="shared" si="27"/>
        <v>0</v>
      </c>
      <c r="AP105" s="51">
        <f t="shared" si="28"/>
        <v>0</v>
      </c>
      <c r="AQ105" s="51">
        <f t="shared" si="29"/>
        <v>0</v>
      </c>
      <c r="AR105" s="51">
        <f t="shared" si="30"/>
        <v>0</v>
      </c>
      <c r="AS105" s="51">
        <f t="shared" si="31"/>
        <v>0</v>
      </c>
      <c r="AT105" s="51">
        <f t="shared" si="39"/>
        <v>0</v>
      </c>
      <c r="AU105" s="54">
        <f t="shared" si="32"/>
        <v>0</v>
      </c>
      <c r="AV105" s="54">
        <f t="shared" si="33"/>
        <v>0</v>
      </c>
      <c r="AW105" s="54">
        <f t="shared" si="34"/>
        <v>2625</v>
      </c>
      <c r="AX105" s="54">
        <f t="shared" si="35"/>
        <v>0</v>
      </c>
      <c r="AY105" s="54">
        <f t="shared" si="36"/>
        <v>0</v>
      </c>
      <c r="AZ105" s="54">
        <f t="shared" si="37"/>
        <v>0</v>
      </c>
      <c r="BA105" s="54">
        <f t="shared" si="38"/>
        <v>2625</v>
      </c>
      <c r="BB105" s="128"/>
    </row>
    <row r="106" spans="1:54">
      <c r="A106" s="170">
        <v>90</v>
      </c>
      <c r="B106" s="171" t="s">
        <v>638</v>
      </c>
      <c r="C106" s="172"/>
      <c r="D106" s="173"/>
      <c r="E106" s="174"/>
      <c r="F106" s="175"/>
      <c r="G106" s="175"/>
      <c r="H106" s="175"/>
      <c r="I106" s="175"/>
      <c r="J106" s="175"/>
      <c r="K106" s="175"/>
      <c r="L106" s="175">
        <f t="shared" si="20"/>
        <v>0</v>
      </c>
      <c r="M106" s="176"/>
      <c r="N106" s="176"/>
      <c r="O106" s="176"/>
      <c r="P106" s="176"/>
      <c r="Q106" s="176"/>
      <c r="R106" s="176"/>
      <c r="S106" s="176">
        <f t="shared" si="21"/>
        <v>0</v>
      </c>
      <c r="T106" s="177">
        <v>0</v>
      </c>
      <c r="U106" s="177">
        <v>44</v>
      </c>
      <c r="V106" s="178">
        <v>0</v>
      </c>
      <c r="W106" s="178">
        <v>14</v>
      </c>
      <c r="X106" s="178">
        <v>0</v>
      </c>
      <c r="Y106" s="179">
        <v>43</v>
      </c>
      <c r="Z106" s="178">
        <v>0</v>
      </c>
      <c r="AA106" s="136">
        <f t="shared" si="22"/>
        <v>101</v>
      </c>
      <c r="AB106" s="180">
        <v>0</v>
      </c>
      <c r="AC106" s="180">
        <v>0</v>
      </c>
      <c r="AD106" s="180">
        <v>0</v>
      </c>
      <c r="AE106" s="180">
        <v>0</v>
      </c>
      <c r="AF106" s="181">
        <v>0</v>
      </c>
      <c r="AG106" s="180">
        <v>0</v>
      </c>
      <c r="AH106" s="139">
        <f t="shared" si="23"/>
        <v>0</v>
      </c>
      <c r="AI106" s="144" t="s">
        <v>639</v>
      </c>
      <c r="AJ106" s="141">
        <v>100</v>
      </c>
      <c r="AK106" s="141">
        <v>337.5</v>
      </c>
      <c r="AL106" s="142">
        <f t="shared" si="24"/>
        <v>437.5</v>
      </c>
      <c r="AM106" s="51">
        <f t="shared" si="25"/>
        <v>0</v>
      </c>
      <c r="AN106" s="51">
        <f t="shared" si="26"/>
        <v>19250</v>
      </c>
      <c r="AO106" s="51">
        <f t="shared" si="27"/>
        <v>0</v>
      </c>
      <c r="AP106" s="51">
        <f t="shared" si="28"/>
        <v>6125</v>
      </c>
      <c r="AQ106" s="51">
        <f t="shared" si="29"/>
        <v>0</v>
      </c>
      <c r="AR106" s="51">
        <f t="shared" si="30"/>
        <v>18812.5</v>
      </c>
      <c r="AS106" s="51">
        <f t="shared" si="31"/>
        <v>0</v>
      </c>
      <c r="AT106" s="51">
        <f t="shared" si="39"/>
        <v>44187.5</v>
      </c>
      <c r="AU106" s="54">
        <f t="shared" si="32"/>
        <v>0</v>
      </c>
      <c r="AV106" s="54">
        <f t="shared" si="33"/>
        <v>0</v>
      </c>
      <c r="AW106" s="54">
        <f t="shared" si="34"/>
        <v>0</v>
      </c>
      <c r="AX106" s="54">
        <f t="shared" si="35"/>
        <v>0</v>
      </c>
      <c r="AY106" s="54">
        <f t="shared" si="36"/>
        <v>0</v>
      </c>
      <c r="AZ106" s="54">
        <f t="shared" si="37"/>
        <v>0</v>
      </c>
      <c r="BA106" s="54">
        <f t="shared" si="38"/>
        <v>0</v>
      </c>
      <c r="BB106" s="128"/>
    </row>
    <row r="107" spans="1:54" ht="23.1">
      <c r="A107" s="170">
        <v>91</v>
      </c>
      <c r="B107" s="171" t="s">
        <v>640</v>
      </c>
      <c r="C107" s="172"/>
      <c r="D107" s="173"/>
      <c r="E107" s="174"/>
      <c r="F107" s="175"/>
      <c r="G107" s="175"/>
      <c r="H107" s="175"/>
      <c r="I107" s="175"/>
      <c r="J107" s="175"/>
      <c r="K107" s="175"/>
      <c r="L107" s="175">
        <f t="shared" si="20"/>
        <v>0</v>
      </c>
      <c r="M107" s="176"/>
      <c r="N107" s="176"/>
      <c r="O107" s="176"/>
      <c r="P107" s="176"/>
      <c r="Q107" s="176"/>
      <c r="R107" s="176"/>
      <c r="S107" s="176">
        <f t="shared" si="21"/>
        <v>0</v>
      </c>
      <c r="T107" s="177">
        <v>0</v>
      </c>
      <c r="U107" s="177">
        <v>0</v>
      </c>
      <c r="V107" s="178">
        <v>0</v>
      </c>
      <c r="W107" s="178">
        <v>0</v>
      </c>
      <c r="X107" s="178">
        <v>0</v>
      </c>
      <c r="Y107" s="179">
        <v>0</v>
      </c>
      <c r="Z107" s="178">
        <v>0</v>
      </c>
      <c r="AA107" s="136">
        <f t="shared" si="22"/>
        <v>0</v>
      </c>
      <c r="AB107" s="180">
        <v>0</v>
      </c>
      <c r="AC107" s="180">
        <v>0</v>
      </c>
      <c r="AD107" s="180">
        <v>0</v>
      </c>
      <c r="AE107" s="180">
        <v>0</v>
      </c>
      <c r="AF107" s="181">
        <v>0</v>
      </c>
      <c r="AG107" s="180">
        <v>0</v>
      </c>
      <c r="AH107" s="139">
        <f t="shared" si="23"/>
        <v>0</v>
      </c>
      <c r="AI107" s="144"/>
      <c r="AJ107" s="141">
        <v>0</v>
      </c>
      <c r="AK107" s="141">
        <v>0</v>
      </c>
      <c r="AL107" s="142">
        <f t="shared" si="24"/>
        <v>0</v>
      </c>
      <c r="AM107" s="51">
        <f t="shared" si="25"/>
        <v>0</v>
      </c>
      <c r="AN107" s="51">
        <f t="shared" si="26"/>
        <v>0</v>
      </c>
      <c r="AO107" s="51">
        <f t="shared" si="27"/>
        <v>0</v>
      </c>
      <c r="AP107" s="51">
        <f t="shared" si="28"/>
        <v>0</v>
      </c>
      <c r="AQ107" s="51">
        <f t="shared" si="29"/>
        <v>0</v>
      </c>
      <c r="AR107" s="51">
        <f t="shared" si="30"/>
        <v>0</v>
      </c>
      <c r="AS107" s="51">
        <f t="shared" si="31"/>
        <v>0</v>
      </c>
      <c r="AT107" s="51">
        <f t="shared" si="39"/>
        <v>0</v>
      </c>
      <c r="AU107" s="54">
        <f t="shared" si="32"/>
        <v>0</v>
      </c>
      <c r="AV107" s="54">
        <f t="shared" si="33"/>
        <v>0</v>
      </c>
      <c r="AW107" s="54">
        <f t="shared" si="34"/>
        <v>0</v>
      </c>
      <c r="AX107" s="54">
        <f t="shared" si="35"/>
        <v>0</v>
      </c>
      <c r="AY107" s="54">
        <f t="shared" si="36"/>
        <v>0</v>
      </c>
      <c r="AZ107" s="54">
        <f t="shared" si="37"/>
        <v>0</v>
      </c>
      <c r="BA107" s="54">
        <f t="shared" si="38"/>
        <v>0</v>
      </c>
      <c r="BB107" s="128"/>
    </row>
    <row r="108" spans="1:54">
      <c r="A108" s="170">
        <v>92</v>
      </c>
      <c r="B108" s="171" t="s">
        <v>641</v>
      </c>
      <c r="C108" s="172"/>
      <c r="D108" s="173" t="s">
        <v>642</v>
      </c>
      <c r="E108" s="174"/>
      <c r="F108" s="175"/>
      <c r="G108" s="175"/>
      <c r="H108" s="175"/>
      <c r="I108" s="175"/>
      <c r="J108" s="175"/>
      <c r="K108" s="175"/>
      <c r="L108" s="175">
        <f t="shared" si="20"/>
        <v>0</v>
      </c>
      <c r="M108" s="176"/>
      <c r="N108" s="176"/>
      <c r="O108" s="176"/>
      <c r="P108" s="176"/>
      <c r="Q108" s="176"/>
      <c r="R108" s="176"/>
      <c r="S108" s="176">
        <f t="shared" si="21"/>
        <v>0</v>
      </c>
      <c r="T108" s="177">
        <v>0</v>
      </c>
      <c r="U108" s="177">
        <v>1</v>
      </c>
      <c r="V108" s="178">
        <v>1</v>
      </c>
      <c r="W108" s="178">
        <v>1</v>
      </c>
      <c r="X108" s="178">
        <v>1</v>
      </c>
      <c r="Y108" s="179">
        <v>1</v>
      </c>
      <c r="Z108" s="178">
        <v>0</v>
      </c>
      <c r="AA108" s="136">
        <f t="shared" si="22"/>
        <v>5</v>
      </c>
      <c r="AB108" s="180">
        <v>1</v>
      </c>
      <c r="AC108" s="180">
        <v>1</v>
      </c>
      <c r="AD108" s="180">
        <v>1</v>
      </c>
      <c r="AE108" s="180">
        <v>1</v>
      </c>
      <c r="AF108" s="181">
        <v>1</v>
      </c>
      <c r="AG108" s="180">
        <v>0</v>
      </c>
      <c r="AH108" s="139">
        <f t="shared" si="23"/>
        <v>5</v>
      </c>
      <c r="AI108" s="144" t="s">
        <v>572</v>
      </c>
      <c r="AJ108" s="141">
        <v>100</v>
      </c>
      <c r="AK108" s="141">
        <v>975.91250000000002</v>
      </c>
      <c r="AL108" s="142">
        <f t="shared" si="24"/>
        <v>1075.9124999999999</v>
      </c>
      <c r="AM108" s="51">
        <f t="shared" si="25"/>
        <v>0</v>
      </c>
      <c r="AN108" s="51">
        <f t="shared" si="26"/>
        <v>1075.9124999999999</v>
      </c>
      <c r="AO108" s="51">
        <f t="shared" si="27"/>
        <v>1075.9124999999999</v>
      </c>
      <c r="AP108" s="51">
        <f t="shared" si="28"/>
        <v>1075.9124999999999</v>
      </c>
      <c r="AQ108" s="51">
        <f t="shared" si="29"/>
        <v>1075.9124999999999</v>
      </c>
      <c r="AR108" s="51">
        <f t="shared" si="30"/>
        <v>1075.9124999999999</v>
      </c>
      <c r="AS108" s="51">
        <f t="shared" si="31"/>
        <v>0</v>
      </c>
      <c r="AT108" s="51">
        <f t="shared" si="39"/>
        <v>5379.5625</v>
      </c>
      <c r="AU108" s="54">
        <f t="shared" si="32"/>
        <v>1075.9124999999999</v>
      </c>
      <c r="AV108" s="54">
        <f t="shared" si="33"/>
        <v>1075.9124999999999</v>
      </c>
      <c r="AW108" s="54">
        <f t="shared" si="34"/>
        <v>1075.9124999999999</v>
      </c>
      <c r="AX108" s="54">
        <f t="shared" si="35"/>
        <v>1075.9124999999999</v>
      </c>
      <c r="AY108" s="54">
        <f t="shared" si="36"/>
        <v>1075.9124999999999</v>
      </c>
      <c r="AZ108" s="54">
        <f t="shared" si="37"/>
        <v>0</v>
      </c>
      <c r="BA108" s="54">
        <f t="shared" si="38"/>
        <v>5379.5625</v>
      </c>
      <c r="BB108" s="128"/>
    </row>
    <row r="109" spans="1:54">
      <c r="A109" s="170">
        <v>93</v>
      </c>
      <c r="B109" s="171" t="s">
        <v>643</v>
      </c>
      <c r="C109" s="172"/>
      <c r="D109" s="173" t="s">
        <v>642</v>
      </c>
      <c r="E109" s="174"/>
      <c r="F109" s="175"/>
      <c r="G109" s="175"/>
      <c r="H109" s="175"/>
      <c r="I109" s="175"/>
      <c r="J109" s="175"/>
      <c r="K109" s="175"/>
      <c r="L109" s="175">
        <f t="shared" si="20"/>
        <v>0</v>
      </c>
      <c r="M109" s="176"/>
      <c r="N109" s="176"/>
      <c r="O109" s="176"/>
      <c r="P109" s="176"/>
      <c r="Q109" s="176"/>
      <c r="R109" s="176"/>
      <c r="S109" s="176">
        <f t="shared" si="21"/>
        <v>0</v>
      </c>
      <c r="T109" s="177">
        <v>0</v>
      </c>
      <c r="U109" s="177">
        <v>0</v>
      </c>
      <c r="V109" s="178">
        <v>0</v>
      </c>
      <c r="W109" s="178">
        <v>0</v>
      </c>
      <c r="X109" s="178">
        <v>0</v>
      </c>
      <c r="Y109" s="179">
        <v>0</v>
      </c>
      <c r="Z109" s="178">
        <v>40</v>
      </c>
      <c r="AA109" s="136">
        <f t="shared" si="22"/>
        <v>40</v>
      </c>
      <c r="AB109" s="180">
        <v>0</v>
      </c>
      <c r="AC109" s="180">
        <v>0</v>
      </c>
      <c r="AD109" s="180">
        <v>0</v>
      </c>
      <c r="AE109" s="180">
        <v>0</v>
      </c>
      <c r="AF109" s="181">
        <v>0</v>
      </c>
      <c r="AG109" s="180">
        <v>0</v>
      </c>
      <c r="AH109" s="139">
        <f t="shared" si="23"/>
        <v>0</v>
      </c>
      <c r="AI109" s="144" t="s">
        <v>572</v>
      </c>
      <c r="AJ109" s="141">
        <v>125</v>
      </c>
      <c r="AK109" s="141">
        <v>1236.2375</v>
      </c>
      <c r="AL109" s="142">
        <f t="shared" si="24"/>
        <v>1361.2375</v>
      </c>
      <c r="AM109" s="51">
        <f t="shared" si="25"/>
        <v>0</v>
      </c>
      <c r="AN109" s="51">
        <f t="shared" si="26"/>
        <v>0</v>
      </c>
      <c r="AO109" s="51">
        <f t="shared" si="27"/>
        <v>0</v>
      </c>
      <c r="AP109" s="51">
        <f t="shared" si="28"/>
        <v>0</v>
      </c>
      <c r="AQ109" s="51">
        <f t="shared" si="29"/>
        <v>0</v>
      </c>
      <c r="AR109" s="51">
        <f t="shared" si="30"/>
        <v>0</v>
      </c>
      <c r="AS109" s="51">
        <f t="shared" si="31"/>
        <v>54449.5</v>
      </c>
      <c r="AT109" s="51">
        <f t="shared" si="39"/>
        <v>54449.5</v>
      </c>
      <c r="AU109" s="54">
        <f t="shared" si="32"/>
        <v>0</v>
      </c>
      <c r="AV109" s="54">
        <f t="shared" si="33"/>
        <v>0</v>
      </c>
      <c r="AW109" s="54">
        <f t="shared" si="34"/>
        <v>0</v>
      </c>
      <c r="AX109" s="54">
        <f t="shared" si="35"/>
        <v>0</v>
      </c>
      <c r="AY109" s="54">
        <f t="shared" si="36"/>
        <v>0</v>
      </c>
      <c r="AZ109" s="54">
        <f t="shared" si="37"/>
        <v>0</v>
      </c>
      <c r="BA109" s="54">
        <f t="shared" si="38"/>
        <v>0</v>
      </c>
      <c r="BB109" s="128"/>
    </row>
    <row r="110" spans="1:54">
      <c r="A110" s="170">
        <v>94</v>
      </c>
      <c r="B110" s="171" t="s">
        <v>644</v>
      </c>
      <c r="C110" s="172"/>
      <c r="D110" s="173" t="s">
        <v>642</v>
      </c>
      <c r="E110" s="174"/>
      <c r="F110" s="175"/>
      <c r="G110" s="175"/>
      <c r="H110" s="175"/>
      <c r="I110" s="175"/>
      <c r="J110" s="175"/>
      <c r="K110" s="175"/>
      <c r="L110" s="175">
        <f t="shared" si="20"/>
        <v>0</v>
      </c>
      <c r="M110" s="176"/>
      <c r="N110" s="176"/>
      <c r="O110" s="176"/>
      <c r="P110" s="176"/>
      <c r="Q110" s="176"/>
      <c r="R110" s="176"/>
      <c r="S110" s="176">
        <f t="shared" si="21"/>
        <v>0</v>
      </c>
      <c r="T110" s="177">
        <v>0</v>
      </c>
      <c r="U110" s="177">
        <v>0</v>
      </c>
      <c r="V110" s="178">
        <v>0</v>
      </c>
      <c r="W110" s="178">
        <v>0</v>
      </c>
      <c r="X110" s="178">
        <v>0</v>
      </c>
      <c r="Y110" s="179">
        <v>0</v>
      </c>
      <c r="Z110" s="178">
        <v>0</v>
      </c>
      <c r="AA110" s="136">
        <f t="shared" si="22"/>
        <v>0</v>
      </c>
      <c r="AB110" s="180">
        <v>0</v>
      </c>
      <c r="AC110" s="180">
        <v>0</v>
      </c>
      <c r="AD110" s="180">
        <v>0</v>
      </c>
      <c r="AE110" s="180">
        <v>0</v>
      </c>
      <c r="AF110" s="181">
        <v>0</v>
      </c>
      <c r="AG110" s="180">
        <v>7</v>
      </c>
      <c r="AH110" s="139">
        <f t="shared" si="23"/>
        <v>7</v>
      </c>
      <c r="AI110" s="144" t="s">
        <v>572</v>
      </c>
      <c r="AJ110" s="141">
        <v>150</v>
      </c>
      <c r="AK110" s="141">
        <v>1881.875</v>
      </c>
      <c r="AL110" s="142">
        <f t="shared" si="24"/>
        <v>2031.875</v>
      </c>
      <c r="AM110" s="51">
        <f t="shared" si="25"/>
        <v>0</v>
      </c>
      <c r="AN110" s="51">
        <f t="shared" si="26"/>
        <v>0</v>
      </c>
      <c r="AO110" s="51">
        <f t="shared" si="27"/>
        <v>0</v>
      </c>
      <c r="AP110" s="51">
        <f t="shared" si="28"/>
        <v>0</v>
      </c>
      <c r="AQ110" s="51">
        <f t="shared" si="29"/>
        <v>0</v>
      </c>
      <c r="AR110" s="51">
        <f t="shared" si="30"/>
        <v>0</v>
      </c>
      <c r="AS110" s="51">
        <f t="shared" si="31"/>
        <v>0</v>
      </c>
      <c r="AT110" s="51">
        <f t="shared" si="39"/>
        <v>0</v>
      </c>
      <c r="AU110" s="54">
        <f t="shared" si="32"/>
        <v>0</v>
      </c>
      <c r="AV110" s="54">
        <f t="shared" si="33"/>
        <v>0</v>
      </c>
      <c r="AW110" s="54">
        <f t="shared" si="34"/>
        <v>0</v>
      </c>
      <c r="AX110" s="54">
        <f t="shared" si="35"/>
        <v>0</v>
      </c>
      <c r="AY110" s="54">
        <f t="shared" si="36"/>
        <v>0</v>
      </c>
      <c r="AZ110" s="54">
        <f t="shared" si="37"/>
        <v>14223.125</v>
      </c>
      <c r="BA110" s="54">
        <f t="shared" si="38"/>
        <v>14223.125</v>
      </c>
      <c r="BB110" s="128"/>
    </row>
    <row r="111" spans="1:54">
      <c r="A111" s="170">
        <v>95</v>
      </c>
      <c r="B111" s="171" t="s">
        <v>645</v>
      </c>
      <c r="C111" s="172"/>
      <c r="D111" s="173" t="s">
        <v>642</v>
      </c>
      <c r="E111" s="174"/>
      <c r="F111" s="175"/>
      <c r="G111" s="175"/>
      <c r="H111" s="175"/>
      <c r="I111" s="175"/>
      <c r="J111" s="175"/>
      <c r="K111" s="175"/>
      <c r="L111" s="175">
        <f t="shared" si="20"/>
        <v>0</v>
      </c>
      <c r="M111" s="176"/>
      <c r="N111" s="176"/>
      <c r="O111" s="176"/>
      <c r="P111" s="176"/>
      <c r="Q111" s="176"/>
      <c r="R111" s="176"/>
      <c r="S111" s="176">
        <f t="shared" si="21"/>
        <v>0</v>
      </c>
      <c r="T111" s="177">
        <v>0</v>
      </c>
      <c r="U111" s="177">
        <v>1</v>
      </c>
      <c r="V111" s="178">
        <v>1</v>
      </c>
      <c r="W111" s="178">
        <v>1</v>
      </c>
      <c r="X111" s="178">
        <v>1</v>
      </c>
      <c r="Y111" s="179">
        <v>1</v>
      </c>
      <c r="Z111" s="178">
        <v>0</v>
      </c>
      <c r="AA111" s="136">
        <f t="shared" si="22"/>
        <v>5</v>
      </c>
      <c r="AB111" s="180">
        <v>0</v>
      </c>
      <c r="AC111" s="180">
        <v>0</v>
      </c>
      <c r="AD111" s="180">
        <v>0</v>
      </c>
      <c r="AE111" s="180">
        <v>0</v>
      </c>
      <c r="AF111" s="181">
        <v>0</v>
      </c>
      <c r="AG111" s="180">
        <v>0</v>
      </c>
      <c r="AH111" s="139">
        <f t="shared" si="23"/>
        <v>0</v>
      </c>
      <c r="AI111" s="144" t="s">
        <v>572</v>
      </c>
      <c r="AJ111" s="141">
        <v>162.5</v>
      </c>
      <c r="AK111" s="141">
        <v>2721.3249999999998</v>
      </c>
      <c r="AL111" s="142">
        <f t="shared" si="24"/>
        <v>2883.8249999999998</v>
      </c>
      <c r="AM111" s="51">
        <f t="shared" si="25"/>
        <v>0</v>
      </c>
      <c r="AN111" s="51">
        <f t="shared" si="26"/>
        <v>2883.8249999999998</v>
      </c>
      <c r="AO111" s="51">
        <f t="shared" si="27"/>
        <v>2883.8249999999998</v>
      </c>
      <c r="AP111" s="51">
        <f t="shared" si="28"/>
        <v>2883.8249999999998</v>
      </c>
      <c r="AQ111" s="51">
        <f t="shared" si="29"/>
        <v>2883.8249999999998</v>
      </c>
      <c r="AR111" s="51">
        <f t="shared" si="30"/>
        <v>2883.8249999999998</v>
      </c>
      <c r="AS111" s="51">
        <f t="shared" si="31"/>
        <v>0</v>
      </c>
      <c r="AT111" s="51">
        <f t="shared" si="39"/>
        <v>14419.125</v>
      </c>
      <c r="AU111" s="54">
        <f t="shared" si="32"/>
        <v>0</v>
      </c>
      <c r="AV111" s="54">
        <f t="shared" si="33"/>
        <v>0</v>
      </c>
      <c r="AW111" s="54">
        <f t="shared" si="34"/>
        <v>0</v>
      </c>
      <c r="AX111" s="54">
        <f t="shared" si="35"/>
        <v>0</v>
      </c>
      <c r="AY111" s="54">
        <f t="shared" si="36"/>
        <v>0</v>
      </c>
      <c r="AZ111" s="54">
        <f t="shared" si="37"/>
        <v>0</v>
      </c>
      <c r="BA111" s="54">
        <f t="shared" si="38"/>
        <v>0</v>
      </c>
      <c r="BB111" s="128"/>
    </row>
    <row r="112" spans="1:54">
      <c r="A112" s="170">
        <v>96</v>
      </c>
      <c r="B112" s="171" t="s">
        <v>646</v>
      </c>
      <c r="C112" s="172"/>
      <c r="D112" s="173" t="s">
        <v>642</v>
      </c>
      <c r="E112" s="174"/>
      <c r="F112" s="175"/>
      <c r="G112" s="175"/>
      <c r="H112" s="175"/>
      <c r="I112" s="175"/>
      <c r="J112" s="175"/>
      <c r="K112" s="175"/>
      <c r="L112" s="175">
        <f t="shared" si="20"/>
        <v>0</v>
      </c>
      <c r="M112" s="176"/>
      <c r="N112" s="176"/>
      <c r="O112" s="176"/>
      <c r="P112" s="176"/>
      <c r="Q112" s="176"/>
      <c r="R112" s="176"/>
      <c r="S112" s="176">
        <f t="shared" si="21"/>
        <v>0</v>
      </c>
      <c r="T112" s="177">
        <v>0</v>
      </c>
      <c r="U112" s="177">
        <v>0</v>
      </c>
      <c r="V112" s="178">
        <v>0</v>
      </c>
      <c r="W112" s="178">
        <v>0</v>
      </c>
      <c r="X112" s="178">
        <v>0</v>
      </c>
      <c r="Y112" s="179">
        <v>0</v>
      </c>
      <c r="Z112" s="178">
        <v>0</v>
      </c>
      <c r="AA112" s="136">
        <f t="shared" si="22"/>
        <v>0</v>
      </c>
      <c r="AB112" s="180">
        <v>0</v>
      </c>
      <c r="AC112" s="180">
        <v>0</v>
      </c>
      <c r="AD112" s="180">
        <v>0</v>
      </c>
      <c r="AE112" s="180">
        <v>0</v>
      </c>
      <c r="AF112" s="181">
        <v>0</v>
      </c>
      <c r="AG112" s="180">
        <v>1</v>
      </c>
      <c r="AH112" s="139">
        <f t="shared" si="23"/>
        <v>1</v>
      </c>
      <c r="AI112" s="144" t="s">
        <v>572</v>
      </c>
      <c r="AJ112" s="141">
        <v>225</v>
      </c>
      <c r="AK112" s="141">
        <v>4662.8500000000004</v>
      </c>
      <c r="AL112" s="142">
        <f t="shared" si="24"/>
        <v>4887.8500000000004</v>
      </c>
      <c r="AM112" s="51">
        <f t="shared" si="25"/>
        <v>0</v>
      </c>
      <c r="AN112" s="51">
        <f t="shared" si="26"/>
        <v>0</v>
      </c>
      <c r="AO112" s="51">
        <f t="shared" si="27"/>
        <v>0</v>
      </c>
      <c r="AP112" s="51">
        <f t="shared" si="28"/>
        <v>0</v>
      </c>
      <c r="AQ112" s="51">
        <f t="shared" si="29"/>
        <v>0</v>
      </c>
      <c r="AR112" s="51">
        <f t="shared" si="30"/>
        <v>0</v>
      </c>
      <c r="AS112" s="51">
        <f t="shared" si="31"/>
        <v>0</v>
      </c>
      <c r="AT112" s="51">
        <f t="shared" si="39"/>
        <v>0</v>
      </c>
      <c r="AU112" s="54">
        <f t="shared" si="32"/>
        <v>0</v>
      </c>
      <c r="AV112" s="54">
        <f t="shared" si="33"/>
        <v>0</v>
      </c>
      <c r="AW112" s="54">
        <f t="shared" si="34"/>
        <v>0</v>
      </c>
      <c r="AX112" s="54">
        <f t="shared" si="35"/>
        <v>0</v>
      </c>
      <c r="AY112" s="54">
        <f t="shared" si="36"/>
        <v>0</v>
      </c>
      <c r="AZ112" s="54">
        <f t="shared" si="37"/>
        <v>4887.8500000000004</v>
      </c>
      <c r="BA112" s="54">
        <f t="shared" si="38"/>
        <v>4887.8500000000004</v>
      </c>
      <c r="BB112" s="128"/>
    </row>
    <row r="113" spans="1:54">
      <c r="A113" s="170">
        <v>97</v>
      </c>
      <c r="B113" s="171" t="s">
        <v>647</v>
      </c>
      <c r="C113" s="172"/>
      <c r="D113" s="173" t="s">
        <v>642</v>
      </c>
      <c r="E113" s="174"/>
      <c r="F113" s="175"/>
      <c r="G113" s="175"/>
      <c r="H113" s="175"/>
      <c r="I113" s="175"/>
      <c r="J113" s="175"/>
      <c r="K113" s="175"/>
      <c r="L113" s="175">
        <f t="shared" si="20"/>
        <v>0</v>
      </c>
      <c r="M113" s="176"/>
      <c r="N113" s="176"/>
      <c r="O113" s="176"/>
      <c r="P113" s="176"/>
      <c r="Q113" s="176"/>
      <c r="R113" s="176"/>
      <c r="S113" s="176">
        <f t="shared" si="21"/>
        <v>0</v>
      </c>
      <c r="T113" s="177">
        <v>0</v>
      </c>
      <c r="U113" s="177">
        <v>0</v>
      </c>
      <c r="V113" s="178">
        <v>0</v>
      </c>
      <c r="W113" s="178">
        <v>0</v>
      </c>
      <c r="X113" s="178">
        <v>0</v>
      </c>
      <c r="Y113" s="179">
        <v>0</v>
      </c>
      <c r="Z113" s="178">
        <v>0</v>
      </c>
      <c r="AA113" s="136">
        <f t="shared" si="22"/>
        <v>0</v>
      </c>
      <c r="AB113" s="180">
        <v>0</v>
      </c>
      <c r="AC113" s="180">
        <v>0</v>
      </c>
      <c r="AD113" s="180">
        <v>0</v>
      </c>
      <c r="AE113" s="180">
        <v>0</v>
      </c>
      <c r="AF113" s="181">
        <v>0</v>
      </c>
      <c r="AG113" s="180">
        <v>3</v>
      </c>
      <c r="AH113" s="139">
        <f t="shared" si="23"/>
        <v>3</v>
      </c>
      <c r="AI113" s="144" t="s">
        <v>572</v>
      </c>
      <c r="AJ113" s="141">
        <v>325</v>
      </c>
      <c r="AK113" s="141">
        <v>7962.1500000000005</v>
      </c>
      <c r="AL113" s="142">
        <f t="shared" si="24"/>
        <v>8287.1500000000015</v>
      </c>
      <c r="AM113" s="51">
        <f t="shared" si="25"/>
        <v>0</v>
      </c>
      <c r="AN113" s="51">
        <f t="shared" si="26"/>
        <v>0</v>
      </c>
      <c r="AO113" s="51">
        <f t="shared" si="27"/>
        <v>0</v>
      </c>
      <c r="AP113" s="51">
        <f t="shared" si="28"/>
        <v>0</v>
      </c>
      <c r="AQ113" s="51">
        <f t="shared" si="29"/>
        <v>0</v>
      </c>
      <c r="AR113" s="51">
        <f t="shared" si="30"/>
        <v>0</v>
      </c>
      <c r="AS113" s="51">
        <f t="shared" si="31"/>
        <v>0</v>
      </c>
      <c r="AT113" s="51">
        <f t="shared" si="39"/>
        <v>0</v>
      </c>
      <c r="AU113" s="54">
        <f t="shared" si="32"/>
        <v>0</v>
      </c>
      <c r="AV113" s="54">
        <f t="shared" si="33"/>
        <v>0</v>
      </c>
      <c r="AW113" s="54">
        <f t="shared" si="34"/>
        <v>0</v>
      </c>
      <c r="AX113" s="54">
        <f t="shared" si="35"/>
        <v>0</v>
      </c>
      <c r="AY113" s="54">
        <f t="shared" si="36"/>
        <v>0</v>
      </c>
      <c r="AZ113" s="54">
        <f t="shared" si="37"/>
        <v>24861.450000000004</v>
      </c>
      <c r="BA113" s="54">
        <f t="shared" si="38"/>
        <v>24861.450000000004</v>
      </c>
      <c r="BB113" s="128"/>
    </row>
    <row r="114" spans="1:54">
      <c r="A114" s="170">
        <v>98</v>
      </c>
      <c r="B114" s="171" t="s">
        <v>648</v>
      </c>
      <c r="C114" s="172"/>
      <c r="D114" s="173" t="s">
        <v>642</v>
      </c>
      <c r="E114" s="174"/>
      <c r="F114" s="175"/>
      <c r="G114" s="175"/>
      <c r="H114" s="175"/>
      <c r="I114" s="175"/>
      <c r="J114" s="175"/>
      <c r="K114" s="175"/>
      <c r="L114" s="175">
        <f t="shared" si="20"/>
        <v>0</v>
      </c>
      <c r="M114" s="176"/>
      <c r="N114" s="176"/>
      <c r="O114" s="176"/>
      <c r="P114" s="176"/>
      <c r="Q114" s="176"/>
      <c r="R114" s="176"/>
      <c r="S114" s="176">
        <f t="shared" si="21"/>
        <v>0</v>
      </c>
      <c r="T114" s="177">
        <v>0</v>
      </c>
      <c r="U114" s="177">
        <v>2</v>
      </c>
      <c r="V114" s="178">
        <v>2</v>
      </c>
      <c r="W114" s="178">
        <v>2</v>
      </c>
      <c r="X114" s="178">
        <v>2</v>
      </c>
      <c r="Y114" s="179">
        <v>2</v>
      </c>
      <c r="Z114" s="178">
        <v>4</v>
      </c>
      <c r="AA114" s="136">
        <f t="shared" si="22"/>
        <v>14</v>
      </c>
      <c r="AB114" s="180">
        <v>2</v>
      </c>
      <c r="AC114" s="180">
        <v>2</v>
      </c>
      <c r="AD114" s="180">
        <v>2</v>
      </c>
      <c r="AE114" s="180">
        <v>2</v>
      </c>
      <c r="AF114" s="181">
        <v>2</v>
      </c>
      <c r="AG114" s="180">
        <v>0</v>
      </c>
      <c r="AH114" s="139">
        <f t="shared" si="23"/>
        <v>10</v>
      </c>
      <c r="AI114" s="144" t="s">
        <v>572</v>
      </c>
      <c r="AJ114" s="141">
        <v>750</v>
      </c>
      <c r="AK114" s="141">
        <v>0</v>
      </c>
      <c r="AL114" s="142">
        <f t="shared" si="24"/>
        <v>750</v>
      </c>
      <c r="AM114" s="51">
        <f t="shared" si="25"/>
        <v>0</v>
      </c>
      <c r="AN114" s="51">
        <f t="shared" si="26"/>
        <v>1500</v>
      </c>
      <c r="AO114" s="51">
        <f t="shared" si="27"/>
        <v>1500</v>
      </c>
      <c r="AP114" s="51">
        <f t="shared" si="28"/>
        <v>1500</v>
      </c>
      <c r="AQ114" s="51">
        <f t="shared" si="29"/>
        <v>1500</v>
      </c>
      <c r="AR114" s="51">
        <f t="shared" si="30"/>
        <v>1500</v>
      </c>
      <c r="AS114" s="51">
        <f t="shared" si="31"/>
        <v>3000</v>
      </c>
      <c r="AT114" s="51">
        <f t="shared" si="39"/>
        <v>10500</v>
      </c>
      <c r="AU114" s="54">
        <f t="shared" si="32"/>
        <v>1500</v>
      </c>
      <c r="AV114" s="54">
        <f t="shared" si="33"/>
        <v>1500</v>
      </c>
      <c r="AW114" s="54">
        <f t="shared" si="34"/>
        <v>1500</v>
      </c>
      <c r="AX114" s="54">
        <f t="shared" si="35"/>
        <v>1500</v>
      </c>
      <c r="AY114" s="54">
        <f t="shared" si="36"/>
        <v>1500</v>
      </c>
      <c r="AZ114" s="54">
        <f t="shared" si="37"/>
        <v>0</v>
      </c>
      <c r="BA114" s="54">
        <f t="shared" si="38"/>
        <v>7500</v>
      </c>
      <c r="BB114" s="128"/>
    </row>
    <row r="115" spans="1:54">
      <c r="A115" s="170">
        <v>99</v>
      </c>
      <c r="B115" s="171" t="s">
        <v>649</v>
      </c>
      <c r="C115" s="172"/>
      <c r="D115" s="173"/>
      <c r="E115" s="174"/>
      <c r="F115" s="175"/>
      <c r="G115" s="175"/>
      <c r="H115" s="175"/>
      <c r="I115" s="175"/>
      <c r="J115" s="175"/>
      <c r="K115" s="175"/>
      <c r="L115" s="175">
        <f t="shared" si="20"/>
        <v>0</v>
      </c>
      <c r="M115" s="176"/>
      <c r="N115" s="176"/>
      <c r="O115" s="176"/>
      <c r="P115" s="176"/>
      <c r="Q115" s="176"/>
      <c r="R115" s="176"/>
      <c r="S115" s="176">
        <f t="shared" si="21"/>
        <v>0</v>
      </c>
      <c r="T115" s="177">
        <v>0</v>
      </c>
      <c r="U115" s="177">
        <v>0</v>
      </c>
      <c r="V115" s="178">
        <v>0</v>
      </c>
      <c r="W115" s="178">
        <v>0</v>
      </c>
      <c r="X115" s="178">
        <v>0</v>
      </c>
      <c r="Y115" s="179">
        <v>0</v>
      </c>
      <c r="Z115" s="178">
        <v>0</v>
      </c>
      <c r="AA115" s="136">
        <f t="shared" si="22"/>
        <v>0</v>
      </c>
      <c r="AB115" s="180">
        <v>0</v>
      </c>
      <c r="AC115" s="180">
        <v>0</v>
      </c>
      <c r="AD115" s="180">
        <v>0</v>
      </c>
      <c r="AE115" s="180">
        <v>0</v>
      </c>
      <c r="AF115" s="181">
        <v>0</v>
      </c>
      <c r="AG115" s="180">
        <v>6</v>
      </c>
      <c r="AH115" s="139">
        <f t="shared" si="23"/>
        <v>6</v>
      </c>
      <c r="AI115" s="144" t="s">
        <v>572</v>
      </c>
      <c r="AJ115" s="141">
        <v>1250</v>
      </c>
      <c r="AK115" s="141">
        <v>0</v>
      </c>
      <c r="AL115" s="142">
        <f t="shared" si="24"/>
        <v>1250</v>
      </c>
      <c r="AM115" s="51">
        <f t="shared" si="25"/>
        <v>0</v>
      </c>
      <c r="AN115" s="51">
        <f t="shared" si="26"/>
        <v>0</v>
      </c>
      <c r="AO115" s="51">
        <f t="shared" si="27"/>
        <v>0</v>
      </c>
      <c r="AP115" s="51">
        <f t="shared" si="28"/>
        <v>0</v>
      </c>
      <c r="AQ115" s="51">
        <f t="shared" si="29"/>
        <v>0</v>
      </c>
      <c r="AR115" s="51">
        <f t="shared" si="30"/>
        <v>0</v>
      </c>
      <c r="AS115" s="51">
        <f t="shared" si="31"/>
        <v>0</v>
      </c>
      <c r="AT115" s="51">
        <f t="shared" si="39"/>
        <v>0</v>
      </c>
      <c r="AU115" s="54">
        <f t="shared" si="32"/>
        <v>0</v>
      </c>
      <c r="AV115" s="54">
        <f t="shared" si="33"/>
        <v>0</v>
      </c>
      <c r="AW115" s="54">
        <f t="shared" si="34"/>
        <v>0</v>
      </c>
      <c r="AX115" s="54">
        <f t="shared" si="35"/>
        <v>0</v>
      </c>
      <c r="AY115" s="54">
        <f t="shared" si="36"/>
        <v>0</v>
      </c>
      <c r="AZ115" s="54">
        <f t="shared" si="37"/>
        <v>7500</v>
      </c>
      <c r="BA115" s="54">
        <f t="shared" si="38"/>
        <v>7500</v>
      </c>
      <c r="BB115" s="128"/>
    </row>
    <row r="116" spans="1:54">
      <c r="A116" s="170">
        <v>100</v>
      </c>
      <c r="B116" s="171" t="s">
        <v>650</v>
      </c>
      <c r="C116" s="172"/>
      <c r="D116" s="173"/>
      <c r="E116" s="174"/>
      <c r="F116" s="175"/>
      <c r="G116" s="175"/>
      <c r="H116" s="175"/>
      <c r="I116" s="175"/>
      <c r="J116" s="175"/>
      <c r="K116" s="175"/>
      <c r="L116" s="175">
        <f t="shared" si="20"/>
        <v>0</v>
      </c>
      <c r="M116" s="176"/>
      <c r="N116" s="176"/>
      <c r="O116" s="176"/>
      <c r="P116" s="176"/>
      <c r="Q116" s="176"/>
      <c r="R116" s="176"/>
      <c r="S116" s="176">
        <f t="shared" si="21"/>
        <v>0</v>
      </c>
      <c r="T116" s="177">
        <v>0</v>
      </c>
      <c r="U116" s="177">
        <v>0</v>
      </c>
      <c r="V116" s="178">
        <v>0</v>
      </c>
      <c r="W116" s="178">
        <v>0</v>
      </c>
      <c r="X116" s="178">
        <v>0</v>
      </c>
      <c r="Y116" s="179">
        <v>0</v>
      </c>
      <c r="Z116" s="178">
        <v>4</v>
      </c>
      <c r="AA116" s="136">
        <f t="shared" si="22"/>
        <v>4</v>
      </c>
      <c r="AB116" s="180">
        <v>0</v>
      </c>
      <c r="AC116" s="180">
        <v>0</v>
      </c>
      <c r="AD116" s="180">
        <v>0</v>
      </c>
      <c r="AE116" s="180">
        <v>0</v>
      </c>
      <c r="AF116" s="181">
        <v>0</v>
      </c>
      <c r="AG116" s="180">
        <v>4</v>
      </c>
      <c r="AH116" s="139">
        <f t="shared" si="23"/>
        <v>4</v>
      </c>
      <c r="AI116" s="144" t="s">
        <v>572</v>
      </c>
      <c r="AJ116" s="141">
        <v>1000</v>
      </c>
      <c r="AK116" s="141">
        <v>0</v>
      </c>
      <c r="AL116" s="142">
        <f t="shared" si="24"/>
        <v>1000</v>
      </c>
      <c r="AM116" s="51">
        <f t="shared" si="25"/>
        <v>0</v>
      </c>
      <c r="AN116" s="51">
        <f t="shared" si="26"/>
        <v>0</v>
      </c>
      <c r="AO116" s="51">
        <f t="shared" si="27"/>
        <v>0</v>
      </c>
      <c r="AP116" s="51">
        <f t="shared" si="28"/>
        <v>0</v>
      </c>
      <c r="AQ116" s="51">
        <f t="shared" si="29"/>
        <v>0</v>
      </c>
      <c r="AR116" s="51">
        <f t="shared" si="30"/>
        <v>0</v>
      </c>
      <c r="AS116" s="51">
        <f t="shared" si="31"/>
        <v>4000</v>
      </c>
      <c r="AT116" s="51">
        <f t="shared" si="39"/>
        <v>4000</v>
      </c>
      <c r="AU116" s="54">
        <f t="shared" si="32"/>
        <v>0</v>
      </c>
      <c r="AV116" s="54">
        <f t="shared" si="33"/>
        <v>0</v>
      </c>
      <c r="AW116" s="54">
        <f t="shared" si="34"/>
        <v>0</v>
      </c>
      <c r="AX116" s="54">
        <f t="shared" si="35"/>
        <v>0</v>
      </c>
      <c r="AY116" s="54">
        <f t="shared" si="36"/>
        <v>0</v>
      </c>
      <c r="AZ116" s="54">
        <f t="shared" si="37"/>
        <v>4000</v>
      </c>
      <c r="BA116" s="54">
        <f t="shared" si="38"/>
        <v>4000</v>
      </c>
      <c r="BB116" s="128"/>
    </row>
    <row r="117" spans="1:54">
      <c r="A117" s="170">
        <v>101</v>
      </c>
      <c r="B117" s="171" t="s">
        <v>651</v>
      </c>
      <c r="C117" s="172"/>
      <c r="D117" s="173" t="s">
        <v>642</v>
      </c>
      <c r="E117" s="174"/>
      <c r="F117" s="175"/>
      <c r="G117" s="175"/>
      <c r="H117" s="175"/>
      <c r="I117" s="175"/>
      <c r="J117" s="175"/>
      <c r="K117" s="175"/>
      <c r="L117" s="175">
        <f t="shared" si="20"/>
        <v>0</v>
      </c>
      <c r="M117" s="176"/>
      <c r="N117" s="176"/>
      <c r="O117" s="176"/>
      <c r="P117" s="176"/>
      <c r="Q117" s="176"/>
      <c r="R117" s="176"/>
      <c r="S117" s="176">
        <f t="shared" si="21"/>
        <v>0</v>
      </c>
      <c r="T117" s="177">
        <v>0</v>
      </c>
      <c r="U117" s="177">
        <v>0</v>
      </c>
      <c r="V117" s="178">
        <v>0</v>
      </c>
      <c r="W117" s="178">
        <v>0</v>
      </c>
      <c r="X117" s="178">
        <v>0</v>
      </c>
      <c r="Y117" s="179">
        <v>0</v>
      </c>
      <c r="Z117" s="178">
        <v>0</v>
      </c>
      <c r="AA117" s="136">
        <f t="shared" si="22"/>
        <v>0</v>
      </c>
      <c r="AB117" s="180">
        <v>0</v>
      </c>
      <c r="AC117" s="180">
        <v>0</v>
      </c>
      <c r="AD117" s="180">
        <v>0</v>
      </c>
      <c r="AE117" s="180">
        <v>0</v>
      </c>
      <c r="AF117" s="181">
        <v>0</v>
      </c>
      <c r="AG117" s="180">
        <v>10</v>
      </c>
      <c r="AH117" s="139">
        <f t="shared" si="23"/>
        <v>10</v>
      </c>
      <c r="AI117" s="144" t="s">
        <v>572</v>
      </c>
      <c r="AJ117" s="141">
        <v>150</v>
      </c>
      <c r="AK117" s="141">
        <v>687.5</v>
      </c>
      <c r="AL117" s="142">
        <f t="shared" si="24"/>
        <v>837.5</v>
      </c>
      <c r="AM117" s="51">
        <f t="shared" si="25"/>
        <v>0</v>
      </c>
      <c r="AN117" s="51">
        <f t="shared" si="26"/>
        <v>0</v>
      </c>
      <c r="AO117" s="51">
        <f t="shared" si="27"/>
        <v>0</v>
      </c>
      <c r="AP117" s="51">
        <f t="shared" si="28"/>
        <v>0</v>
      </c>
      <c r="AQ117" s="51">
        <f t="shared" si="29"/>
        <v>0</v>
      </c>
      <c r="AR117" s="51">
        <f t="shared" si="30"/>
        <v>0</v>
      </c>
      <c r="AS117" s="51">
        <f t="shared" si="31"/>
        <v>0</v>
      </c>
      <c r="AT117" s="51">
        <f t="shared" si="39"/>
        <v>0</v>
      </c>
      <c r="AU117" s="54">
        <f t="shared" si="32"/>
        <v>0</v>
      </c>
      <c r="AV117" s="54">
        <f t="shared" si="33"/>
        <v>0</v>
      </c>
      <c r="AW117" s="54">
        <f t="shared" si="34"/>
        <v>0</v>
      </c>
      <c r="AX117" s="54">
        <f t="shared" si="35"/>
        <v>0</v>
      </c>
      <c r="AY117" s="54">
        <f t="shared" si="36"/>
        <v>0</v>
      </c>
      <c r="AZ117" s="54">
        <f t="shared" si="37"/>
        <v>8375</v>
      </c>
      <c r="BA117" s="54">
        <f t="shared" si="38"/>
        <v>8375</v>
      </c>
      <c r="BB117" s="128"/>
    </row>
    <row r="118" spans="1:54">
      <c r="A118" s="170">
        <v>102</v>
      </c>
      <c r="B118" s="171" t="s">
        <v>652</v>
      </c>
      <c r="C118" s="172"/>
      <c r="D118" s="173" t="s">
        <v>642</v>
      </c>
      <c r="E118" s="174"/>
      <c r="F118" s="175"/>
      <c r="G118" s="175"/>
      <c r="H118" s="175"/>
      <c r="I118" s="175"/>
      <c r="J118" s="175"/>
      <c r="K118" s="175"/>
      <c r="L118" s="175">
        <f t="shared" si="20"/>
        <v>0</v>
      </c>
      <c r="M118" s="176"/>
      <c r="N118" s="176"/>
      <c r="O118" s="176"/>
      <c r="P118" s="176"/>
      <c r="Q118" s="176"/>
      <c r="R118" s="176"/>
      <c r="S118" s="176">
        <f t="shared" si="21"/>
        <v>0</v>
      </c>
      <c r="T118" s="177">
        <v>0</v>
      </c>
      <c r="U118" s="177">
        <v>0</v>
      </c>
      <c r="V118" s="178">
        <v>0</v>
      </c>
      <c r="W118" s="178">
        <v>0</v>
      </c>
      <c r="X118" s="178">
        <v>0</v>
      </c>
      <c r="Y118" s="179">
        <v>0</v>
      </c>
      <c r="Z118" s="178">
        <v>6</v>
      </c>
      <c r="AA118" s="136">
        <f t="shared" si="22"/>
        <v>6</v>
      </c>
      <c r="AB118" s="180">
        <v>0</v>
      </c>
      <c r="AC118" s="180">
        <v>0</v>
      </c>
      <c r="AD118" s="180">
        <v>0</v>
      </c>
      <c r="AE118" s="180">
        <v>0</v>
      </c>
      <c r="AF118" s="181">
        <v>0</v>
      </c>
      <c r="AG118" s="180">
        <v>21</v>
      </c>
      <c r="AH118" s="139">
        <f t="shared" si="23"/>
        <v>21</v>
      </c>
      <c r="AI118" s="144" t="s">
        <v>572</v>
      </c>
      <c r="AJ118" s="141">
        <v>150</v>
      </c>
      <c r="AK118" s="141">
        <v>809.63750000000005</v>
      </c>
      <c r="AL118" s="142">
        <f t="shared" si="24"/>
        <v>959.63750000000005</v>
      </c>
      <c r="AM118" s="51">
        <f t="shared" si="25"/>
        <v>0</v>
      </c>
      <c r="AN118" s="51">
        <f t="shared" si="26"/>
        <v>0</v>
      </c>
      <c r="AO118" s="51">
        <f t="shared" si="27"/>
        <v>0</v>
      </c>
      <c r="AP118" s="51">
        <f t="shared" si="28"/>
        <v>0</v>
      </c>
      <c r="AQ118" s="51">
        <f t="shared" si="29"/>
        <v>0</v>
      </c>
      <c r="AR118" s="51">
        <f t="shared" si="30"/>
        <v>0</v>
      </c>
      <c r="AS118" s="51">
        <f t="shared" si="31"/>
        <v>5757.8250000000007</v>
      </c>
      <c r="AT118" s="51">
        <f t="shared" si="39"/>
        <v>5757.8250000000007</v>
      </c>
      <c r="AU118" s="54">
        <f t="shared" si="32"/>
        <v>0</v>
      </c>
      <c r="AV118" s="54">
        <f t="shared" si="33"/>
        <v>0</v>
      </c>
      <c r="AW118" s="54">
        <f t="shared" si="34"/>
        <v>0</v>
      </c>
      <c r="AX118" s="54">
        <f t="shared" si="35"/>
        <v>0</v>
      </c>
      <c r="AY118" s="54">
        <f t="shared" si="36"/>
        <v>0</v>
      </c>
      <c r="AZ118" s="54">
        <f t="shared" si="37"/>
        <v>20152.387500000001</v>
      </c>
      <c r="BA118" s="54">
        <f t="shared" si="38"/>
        <v>20152.387500000001</v>
      </c>
      <c r="BB118" s="128"/>
    </row>
    <row r="119" spans="1:54">
      <c r="A119" s="170">
        <v>103</v>
      </c>
      <c r="B119" s="171" t="s">
        <v>653</v>
      </c>
      <c r="C119" s="172"/>
      <c r="D119" s="173" t="s">
        <v>642</v>
      </c>
      <c r="E119" s="174"/>
      <c r="F119" s="175"/>
      <c r="G119" s="175"/>
      <c r="H119" s="175"/>
      <c r="I119" s="175"/>
      <c r="J119" s="175"/>
      <c r="K119" s="175"/>
      <c r="L119" s="175">
        <f t="shared" si="20"/>
        <v>0</v>
      </c>
      <c r="M119" s="176"/>
      <c r="N119" s="176"/>
      <c r="O119" s="176"/>
      <c r="P119" s="176"/>
      <c r="Q119" s="176"/>
      <c r="R119" s="176"/>
      <c r="S119" s="176">
        <f t="shared" si="21"/>
        <v>0</v>
      </c>
      <c r="T119" s="177">
        <v>0</v>
      </c>
      <c r="U119" s="177">
        <v>4</v>
      </c>
      <c r="V119" s="178">
        <v>4</v>
      </c>
      <c r="W119" s="178">
        <v>4</v>
      </c>
      <c r="X119" s="178">
        <v>4</v>
      </c>
      <c r="Y119" s="179">
        <v>4</v>
      </c>
      <c r="Z119" s="178">
        <v>8</v>
      </c>
      <c r="AA119" s="136">
        <f t="shared" si="22"/>
        <v>28</v>
      </c>
      <c r="AB119" s="180">
        <v>4</v>
      </c>
      <c r="AC119" s="180">
        <v>4</v>
      </c>
      <c r="AD119" s="180">
        <v>4</v>
      </c>
      <c r="AE119" s="180">
        <v>4</v>
      </c>
      <c r="AF119" s="181">
        <v>4</v>
      </c>
      <c r="AG119" s="180">
        <v>1</v>
      </c>
      <c r="AH119" s="139">
        <f t="shared" si="23"/>
        <v>21</v>
      </c>
      <c r="AI119" s="144" t="s">
        <v>572</v>
      </c>
      <c r="AJ119" s="141">
        <v>162.5</v>
      </c>
      <c r="AK119" s="141">
        <v>892.2</v>
      </c>
      <c r="AL119" s="142">
        <f t="shared" si="24"/>
        <v>1054.7</v>
      </c>
      <c r="AM119" s="51">
        <f t="shared" si="25"/>
        <v>0</v>
      </c>
      <c r="AN119" s="51">
        <f t="shared" si="26"/>
        <v>4218.8</v>
      </c>
      <c r="AO119" s="51">
        <f t="shared" si="27"/>
        <v>4218.8</v>
      </c>
      <c r="AP119" s="51">
        <f t="shared" si="28"/>
        <v>4218.8</v>
      </c>
      <c r="AQ119" s="51">
        <f t="shared" si="29"/>
        <v>4218.8</v>
      </c>
      <c r="AR119" s="51">
        <f t="shared" si="30"/>
        <v>4218.8</v>
      </c>
      <c r="AS119" s="51">
        <f t="shared" si="31"/>
        <v>8437.6</v>
      </c>
      <c r="AT119" s="51">
        <f t="shared" si="39"/>
        <v>29531.599999999999</v>
      </c>
      <c r="AU119" s="54">
        <f t="shared" si="32"/>
        <v>4218.8</v>
      </c>
      <c r="AV119" s="54">
        <f t="shared" si="33"/>
        <v>4218.8</v>
      </c>
      <c r="AW119" s="54">
        <f t="shared" si="34"/>
        <v>4218.8</v>
      </c>
      <c r="AX119" s="54">
        <f t="shared" si="35"/>
        <v>4218.8</v>
      </c>
      <c r="AY119" s="54">
        <f t="shared" si="36"/>
        <v>4218.8</v>
      </c>
      <c r="AZ119" s="54">
        <f t="shared" si="37"/>
        <v>1054.7</v>
      </c>
      <c r="BA119" s="54">
        <f t="shared" si="38"/>
        <v>22148.7</v>
      </c>
      <c r="BB119" s="128"/>
    </row>
    <row r="120" spans="1:54">
      <c r="A120" s="170">
        <v>104</v>
      </c>
      <c r="B120" s="171" t="s">
        <v>654</v>
      </c>
      <c r="C120" s="172"/>
      <c r="D120" s="173" t="s">
        <v>642</v>
      </c>
      <c r="E120" s="174"/>
      <c r="F120" s="175"/>
      <c r="G120" s="175"/>
      <c r="H120" s="175"/>
      <c r="I120" s="175"/>
      <c r="J120" s="175"/>
      <c r="K120" s="175"/>
      <c r="L120" s="175">
        <f t="shared" si="20"/>
        <v>0</v>
      </c>
      <c r="M120" s="176"/>
      <c r="N120" s="176"/>
      <c r="O120" s="176"/>
      <c r="P120" s="176"/>
      <c r="Q120" s="176"/>
      <c r="R120" s="176"/>
      <c r="S120" s="176">
        <f t="shared" si="21"/>
        <v>0</v>
      </c>
      <c r="T120" s="177">
        <v>0</v>
      </c>
      <c r="U120" s="177">
        <v>0</v>
      </c>
      <c r="V120" s="178">
        <v>0</v>
      </c>
      <c r="W120" s="178">
        <v>0</v>
      </c>
      <c r="X120" s="178">
        <v>0</v>
      </c>
      <c r="Y120" s="179">
        <v>0</v>
      </c>
      <c r="Z120" s="178">
        <v>0</v>
      </c>
      <c r="AA120" s="136">
        <f t="shared" si="22"/>
        <v>0</v>
      </c>
      <c r="AB120" s="180">
        <v>0</v>
      </c>
      <c r="AC120" s="180">
        <v>0</v>
      </c>
      <c r="AD120" s="180">
        <v>0</v>
      </c>
      <c r="AE120" s="180">
        <v>0</v>
      </c>
      <c r="AF120" s="181">
        <v>0</v>
      </c>
      <c r="AG120" s="180">
        <v>3</v>
      </c>
      <c r="AH120" s="139">
        <f t="shared" si="23"/>
        <v>3</v>
      </c>
      <c r="AI120" s="144" t="s">
        <v>572</v>
      </c>
      <c r="AJ120" s="141">
        <v>325</v>
      </c>
      <c r="AK120" s="141">
        <v>1619.2625</v>
      </c>
      <c r="AL120" s="142">
        <f t="shared" si="24"/>
        <v>1944.2625</v>
      </c>
      <c r="AM120" s="51">
        <f t="shared" si="25"/>
        <v>0</v>
      </c>
      <c r="AN120" s="51">
        <f t="shared" si="26"/>
        <v>0</v>
      </c>
      <c r="AO120" s="51">
        <f t="shared" si="27"/>
        <v>0</v>
      </c>
      <c r="AP120" s="51">
        <f t="shared" si="28"/>
        <v>0</v>
      </c>
      <c r="AQ120" s="51">
        <f t="shared" si="29"/>
        <v>0</v>
      </c>
      <c r="AR120" s="51">
        <f t="shared" si="30"/>
        <v>0</v>
      </c>
      <c r="AS120" s="51">
        <f t="shared" si="31"/>
        <v>0</v>
      </c>
      <c r="AT120" s="51">
        <f t="shared" si="39"/>
        <v>0</v>
      </c>
      <c r="AU120" s="54">
        <f t="shared" si="32"/>
        <v>0</v>
      </c>
      <c r="AV120" s="54">
        <f t="shared" si="33"/>
        <v>0</v>
      </c>
      <c r="AW120" s="54">
        <f t="shared" si="34"/>
        <v>0</v>
      </c>
      <c r="AX120" s="54">
        <f t="shared" si="35"/>
        <v>0</v>
      </c>
      <c r="AY120" s="54">
        <f t="shared" si="36"/>
        <v>0</v>
      </c>
      <c r="AZ120" s="54">
        <f t="shared" si="37"/>
        <v>5832.7875000000004</v>
      </c>
      <c r="BA120" s="54">
        <f t="shared" si="38"/>
        <v>5832.7875000000004</v>
      </c>
      <c r="BB120" s="128"/>
    </row>
    <row r="121" spans="1:54">
      <c r="A121" s="170">
        <v>105</v>
      </c>
      <c r="B121" s="171" t="s">
        <v>655</v>
      </c>
      <c r="C121" s="172"/>
      <c r="D121" s="173" t="s">
        <v>642</v>
      </c>
      <c r="E121" s="174"/>
      <c r="F121" s="175"/>
      <c r="G121" s="175"/>
      <c r="H121" s="175"/>
      <c r="I121" s="175"/>
      <c r="J121" s="175"/>
      <c r="K121" s="175"/>
      <c r="L121" s="175">
        <f t="shared" si="20"/>
        <v>0</v>
      </c>
      <c r="M121" s="176"/>
      <c r="N121" s="176"/>
      <c r="O121" s="176"/>
      <c r="P121" s="176"/>
      <c r="Q121" s="176"/>
      <c r="R121" s="176"/>
      <c r="S121" s="176">
        <f t="shared" si="21"/>
        <v>0</v>
      </c>
      <c r="T121" s="177">
        <v>0</v>
      </c>
      <c r="U121" s="177">
        <v>0</v>
      </c>
      <c r="V121" s="178">
        <v>0</v>
      </c>
      <c r="W121" s="178">
        <v>0</v>
      </c>
      <c r="X121" s="178">
        <v>0</v>
      </c>
      <c r="Y121" s="179">
        <v>0</v>
      </c>
      <c r="Z121" s="178">
        <v>5</v>
      </c>
      <c r="AA121" s="136">
        <f t="shared" si="22"/>
        <v>5</v>
      </c>
      <c r="AB121" s="180">
        <v>0</v>
      </c>
      <c r="AC121" s="180">
        <v>0</v>
      </c>
      <c r="AD121" s="180">
        <v>0</v>
      </c>
      <c r="AE121" s="180">
        <v>0</v>
      </c>
      <c r="AF121" s="181">
        <v>0</v>
      </c>
      <c r="AG121" s="180">
        <v>11</v>
      </c>
      <c r="AH121" s="139">
        <f t="shared" si="23"/>
        <v>11</v>
      </c>
      <c r="AI121" s="144" t="s">
        <v>572</v>
      </c>
      <c r="AJ121" s="141">
        <v>75</v>
      </c>
      <c r="AK121" s="141">
        <v>419.72499999999997</v>
      </c>
      <c r="AL121" s="142">
        <f t="shared" si="24"/>
        <v>494.72499999999997</v>
      </c>
      <c r="AM121" s="51">
        <f t="shared" si="25"/>
        <v>0</v>
      </c>
      <c r="AN121" s="51">
        <f t="shared" si="26"/>
        <v>0</v>
      </c>
      <c r="AO121" s="51">
        <f t="shared" si="27"/>
        <v>0</v>
      </c>
      <c r="AP121" s="51">
        <f t="shared" si="28"/>
        <v>0</v>
      </c>
      <c r="AQ121" s="51">
        <f t="shared" si="29"/>
        <v>0</v>
      </c>
      <c r="AR121" s="51">
        <f t="shared" si="30"/>
        <v>0</v>
      </c>
      <c r="AS121" s="51">
        <f t="shared" si="31"/>
        <v>2473.625</v>
      </c>
      <c r="AT121" s="51">
        <f t="shared" si="39"/>
        <v>2473.625</v>
      </c>
      <c r="AU121" s="54">
        <f t="shared" si="32"/>
        <v>0</v>
      </c>
      <c r="AV121" s="54">
        <f t="shared" si="33"/>
        <v>0</v>
      </c>
      <c r="AW121" s="54">
        <f t="shared" si="34"/>
        <v>0</v>
      </c>
      <c r="AX121" s="54">
        <f t="shared" si="35"/>
        <v>0</v>
      </c>
      <c r="AY121" s="54">
        <f t="shared" si="36"/>
        <v>0</v>
      </c>
      <c r="AZ121" s="54">
        <f t="shared" si="37"/>
        <v>5441.9749999999995</v>
      </c>
      <c r="BA121" s="54">
        <f t="shared" si="38"/>
        <v>5441.9749999999995</v>
      </c>
      <c r="BB121" s="128"/>
    </row>
    <row r="122" spans="1:54">
      <c r="A122" s="170">
        <v>106</v>
      </c>
      <c r="B122" s="171" t="s">
        <v>656</v>
      </c>
      <c r="C122" s="172"/>
      <c r="D122" s="173" t="s">
        <v>642</v>
      </c>
      <c r="E122" s="174"/>
      <c r="F122" s="175"/>
      <c r="G122" s="175"/>
      <c r="H122" s="175"/>
      <c r="I122" s="175"/>
      <c r="J122" s="175"/>
      <c r="K122" s="175"/>
      <c r="L122" s="175">
        <f t="shared" si="20"/>
        <v>0</v>
      </c>
      <c r="M122" s="176"/>
      <c r="N122" s="176"/>
      <c r="O122" s="176"/>
      <c r="P122" s="176"/>
      <c r="Q122" s="176"/>
      <c r="R122" s="176"/>
      <c r="S122" s="176">
        <f t="shared" si="21"/>
        <v>0</v>
      </c>
      <c r="T122" s="177">
        <v>0</v>
      </c>
      <c r="U122" s="177">
        <v>0</v>
      </c>
      <c r="V122" s="178">
        <v>0</v>
      </c>
      <c r="W122" s="178">
        <v>0</v>
      </c>
      <c r="X122" s="178">
        <v>0</v>
      </c>
      <c r="Y122" s="179">
        <v>0</v>
      </c>
      <c r="Z122" s="178">
        <v>0</v>
      </c>
      <c r="AA122" s="136">
        <f t="shared" si="22"/>
        <v>0</v>
      </c>
      <c r="AB122" s="180">
        <v>0</v>
      </c>
      <c r="AC122" s="180">
        <v>0</v>
      </c>
      <c r="AD122" s="180">
        <v>0</v>
      </c>
      <c r="AE122" s="180">
        <v>0</v>
      </c>
      <c r="AF122" s="181">
        <v>0</v>
      </c>
      <c r="AG122" s="180">
        <v>5</v>
      </c>
      <c r="AH122" s="139">
        <f t="shared" si="23"/>
        <v>5</v>
      </c>
      <c r="AI122" s="144" t="s">
        <v>572</v>
      </c>
      <c r="AJ122" s="141">
        <v>125</v>
      </c>
      <c r="AK122" s="141">
        <v>549.3125</v>
      </c>
      <c r="AL122" s="142">
        <f t="shared" si="24"/>
        <v>674.3125</v>
      </c>
      <c r="AM122" s="51">
        <f t="shared" si="25"/>
        <v>0</v>
      </c>
      <c r="AN122" s="51">
        <f t="shared" si="26"/>
        <v>0</v>
      </c>
      <c r="AO122" s="51">
        <f t="shared" si="27"/>
        <v>0</v>
      </c>
      <c r="AP122" s="51">
        <f t="shared" si="28"/>
        <v>0</v>
      </c>
      <c r="AQ122" s="51">
        <f t="shared" si="29"/>
        <v>0</v>
      </c>
      <c r="AR122" s="51">
        <f t="shared" si="30"/>
        <v>0</v>
      </c>
      <c r="AS122" s="51">
        <f t="shared" si="31"/>
        <v>0</v>
      </c>
      <c r="AT122" s="51">
        <f t="shared" si="39"/>
        <v>0</v>
      </c>
      <c r="AU122" s="54">
        <f t="shared" si="32"/>
        <v>0</v>
      </c>
      <c r="AV122" s="54">
        <f t="shared" si="33"/>
        <v>0</v>
      </c>
      <c r="AW122" s="54">
        <f t="shared" si="34"/>
        <v>0</v>
      </c>
      <c r="AX122" s="54">
        <f t="shared" si="35"/>
        <v>0</v>
      </c>
      <c r="AY122" s="54">
        <f t="shared" si="36"/>
        <v>0</v>
      </c>
      <c r="AZ122" s="54">
        <f t="shared" si="37"/>
        <v>3371.5625</v>
      </c>
      <c r="BA122" s="54">
        <f t="shared" si="38"/>
        <v>3371.5625</v>
      </c>
      <c r="BB122" s="128"/>
    </row>
    <row r="123" spans="1:54">
      <c r="A123" s="170">
        <v>107</v>
      </c>
      <c r="B123" s="171" t="s">
        <v>657</v>
      </c>
      <c r="C123" s="172"/>
      <c r="D123" s="173" t="s">
        <v>642</v>
      </c>
      <c r="E123" s="174"/>
      <c r="F123" s="175"/>
      <c r="G123" s="175"/>
      <c r="H123" s="175"/>
      <c r="I123" s="175"/>
      <c r="J123" s="175"/>
      <c r="K123" s="175"/>
      <c r="L123" s="175">
        <f t="shared" si="20"/>
        <v>0</v>
      </c>
      <c r="M123" s="176"/>
      <c r="N123" s="176"/>
      <c r="O123" s="176"/>
      <c r="P123" s="176"/>
      <c r="Q123" s="176"/>
      <c r="R123" s="176"/>
      <c r="S123" s="176">
        <f t="shared" si="21"/>
        <v>0</v>
      </c>
      <c r="T123" s="177">
        <v>0</v>
      </c>
      <c r="U123" s="177">
        <v>0</v>
      </c>
      <c r="V123" s="178">
        <v>0</v>
      </c>
      <c r="W123" s="178">
        <v>0</v>
      </c>
      <c r="X123" s="178">
        <v>0</v>
      </c>
      <c r="Y123" s="179">
        <v>0</v>
      </c>
      <c r="Z123" s="178">
        <v>0</v>
      </c>
      <c r="AA123" s="136">
        <f t="shared" si="22"/>
        <v>0</v>
      </c>
      <c r="AB123" s="180">
        <v>0</v>
      </c>
      <c r="AC123" s="180">
        <v>0</v>
      </c>
      <c r="AD123" s="180">
        <v>0</v>
      </c>
      <c r="AE123" s="180">
        <v>0</v>
      </c>
      <c r="AF123" s="181">
        <v>0</v>
      </c>
      <c r="AG123" s="180">
        <v>2</v>
      </c>
      <c r="AH123" s="139">
        <f t="shared" si="23"/>
        <v>2</v>
      </c>
      <c r="AI123" s="144" t="s">
        <v>572</v>
      </c>
      <c r="AJ123" s="141">
        <v>150</v>
      </c>
      <c r="AK123" s="141">
        <v>741.97500000000002</v>
      </c>
      <c r="AL123" s="142">
        <f t="shared" si="24"/>
        <v>891.97500000000002</v>
      </c>
      <c r="AM123" s="51">
        <f t="shared" si="25"/>
        <v>0</v>
      </c>
      <c r="AN123" s="51">
        <f t="shared" si="26"/>
        <v>0</v>
      </c>
      <c r="AO123" s="51">
        <f t="shared" si="27"/>
        <v>0</v>
      </c>
      <c r="AP123" s="51">
        <f t="shared" si="28"/>
        <v>0</v>
      </c>
      <c r="AQ123" s="51">
        <f t="shared" si="29"/>
        <v>0</v>
      </c>
      <c r="AR123" s="51">
        <f t="shared" si="30"/>
        <v>0</v>
      </c>
      <c r="AS123" s="51">
        <f t="shared" si="31"/>
        <v>0</v>
      </c>
      <c r="AT123" s="51">
        <f t="shared" si="39"/>
        <v>0</v>
      </c>
      <c r="AU123" s="54">
        <f t="shared" si="32"/>
        <v>0</v>
      </c>
      <c r="AV123" s="54">
        <f t="shared" si="33"/>
        <v>0</v>
      </c>
      <c r="AW123" s="54">
        <f t="shared" si="34"/>
        <v>0</v>
      </c>
      <c r="AX123" s="54">
        <f t="shared" si="35"/>
        <v>0</v>
      </c>
      <c r="AY123" s="54">
        <f t="shared" si="36"/>
        <v>0</v>
      </c>
      <c r="AZ123" s="54">
        <f t="shared" si="37"/>
        <v>1783.95</v>
      </c>
      <c r="BA123" s="54">
        <f t="shared" si="38"/>
        <v>1783.95</v>
      </c>
      <c r="BB123" s="128"/>
    </row>
    <row r="124" spans="1:54">
      <c r="A124" s="170">
        <v>108</v>
      </c>
      <c r="B124" s="171" t="s">
        <v>658</v>
      </c>
      <c r="C124" s="172"/>
      <c r="D124" s="173" t="s">
        <v>642</v>
      </c>
      <c r="E124" s="174"/>
      <c r="F124" s="175"/>
      <c r="G124" s="175"/>
      <c r="H124" s="175"/>
      <c r="I124" s="175"/>
      <c r="J124" s="175"/>
      <c r="K124" s="175"/>
      <c r="L124" s="175">
        <f t="shared" si="20"/>
        <v>0</v>
      </c>
      <c r="M124" s="176"/>
      <c r="N124" s="176"/>
      <c r="O124" s="176"/>
      <c r="P124" s="176"/>
      <c r="Q124" s="176"/>
      <c r="R124" s="176"/>
      <c r="S124" s="176">
        <f t="shared" si="21"/>
        <v>0</v>
      </c>
      <c r="T124" s="177">
        <v>0</v>
      </c>
      <c r="U124" s="177">
        <v>0</v>
      </c>
      <c r="V124" s="178">
        <v>0</v>
      </c>
      <c r="W124" s="178">
        <v>0</v>
      </c>
      <c r="X124" s="178">
        <v>0</v>
      </c>
      <c r="Y124" s="179">
        <v>0</v>
      </c>
      <c r="Z124" s="178">
        <v>0</v>
      </c>
      <c r="AA124" s="136">
        <f t="shared" si="22"/>
        <v>0</v>
      </c>
      <c r="AB124" s="180">
        <v>0</v>
      </c>
      <c r="AC124" s="180">
        <v>0</v>
      </c>
      <c r="AD124" s="180">
        <v>0</v>
      </c>
      <c r="AE124" s="180">
        <v>0</v>
      </c>
      <c r="AF124" s="181">
        <v>0</v>
      </c>
      <c r="AG124" s="180">
        <v>1</v>
      </c>
      <c r="AH124" s="139">
        <f t="shared" si="23"/>
        <v>1</v>
      </c>
      <c r="AI124" s="144" t="s">
        <v>572</v>
      </c>
      <c r="AJ124" s="141">
        <v>162.5</v>
      </c>
      <c r="AK124" s="141">
        <v>1041.2874999999999</v>
      </c>
      <c r="AL124" s="142">
        <f t="shared" si="24"/>
        <v>1203.7874999999999</v>
      </c>
      <c r="AM124" s="51">
        <f t="shared" si="25"/>
        <v>0</v>
      </c>
      <c r="AN124" s="51">
        <f t="shared" si="26"/>
        <v>0</v>
      </c>
      <c r="AO124" s="51">
        <f t="shared" si="27"/>
        <v>0</v>
      </c>
      <c r="AP124" s="51">
        <f t="shared" si="28"/>
        <v>0</v>
      </c>
      <c r="AQ124" s="51">
        <f t="shared" si="29"/>
        <v>0</v>
      </c>
      <c r="AR124" s="51">
        <f t="shared" si="30"/>
        <v>0</v>
      </c>
      <c r="AS124" s="51">
        <f t="shared" si="31"/>
        <v>0</v>
      </c>
      <c r="AT124" s="51">
        <f t="shared" si="39"/>
        <v>0</v>
      </c>
      <c r="AU124" s="54">
        <f t="shared" si="32"/>
        <v>0</v>
      </c>
      <c r="AV124" s="54">
        <f t="shared" si="33"/>
        <v>0</v>
      </c>
      <c r="AW124" s="54">
        <f t="shared" si="34"/>
        <v>0</v>
      </c>
      <c r="AX124" s="54">
        <f t="shared" si="35"/>
        <v>0</v>
      </c>
      <c r="AY124" s="54">
        <f t="shared" si="36"/>
        <v>0</v>
      </c>
      <c r="AZ124" s="54">
        <f t="shared" si="37"/>
        <v>1203.7874999999999</v>
      </c>
      <c r="BA124" s="54">
        <f t="shared" si="38"/>
        <v>1203.7874999999999</v>
      </c>
      <c r="BB124" s="128"/>
    </row>
    <row r="125" spans="1:54">
      <c r="A125" s="170">
        <v>109</v>
      </c>
      <c r="B125" s="171" t="s">
        <v>659</v>
      </c>
      <c r="C125" s="172"/>
      <c r="D125" s="173" t="s">
        <v>642</v>
      </c>
      <c r="E125" s="174"/>
      <c r="F125" s="175"/>
      <c r="G125" s="175"/>
      <c r="H125" s="175"/>
      <c r="I125" s="175"/>
      <c r="J125" s="175"/>
      <c r="K125" s="175"/>
      <c r="L125" s="175">
        <f t="shared" ref="L125:L179" si="40">SUM(F125:K125)</f>
        <v>0</v>
      </c>
      <c r="M125" s="176"/>
      <c r="N125" s="176"/>
      <c r="O125" s="176"/>
      <c r="P125" s="176"/>
      <c r="Q125" s="176"/>
      <c r="R125" s="176"/>
      <c r="S125" s="176">
        <f t="shared" ref="S125:S179" si="41">SUM(M125:R125)</f>
        <v>0</v>
      </c>
      <c r="T125" s="177">
        <v>0</v>
      </c>
      <c r="U125" s="177">
        <v>0</v>
      </c>
      <c r="V125" s="178">
        <v>0</v>
      </c>
      <c r="W125" s="178">
        <v>0</v>
      </c>
      <c r="X125" s="178">
        <v>0</v>
      </c>
      <c r="Y125" s="179">
        <v>0</v>
      </c>
      <c r="Z125" s="178">
        <v>0</v>
      </c>
      <c r="AA125" s="136">
        <f t="shared" ref="AA125:AA176" si="42">SUM(T125:Z125)</f>
        <v>0</v>
      </c>
      <c r="AB125" s="180">
        <v>0</v>
      </c>
      <c r="AC125" s="180">
        <v>0</v>
      </c>
      <c r="AD125" s="180">
        <v>0</v>
      </c>
      <c r="AE125" s="180">
        <v>0</v>
      </c>
      <c r="AF125" s="181">
        <v>0</v>
      </c>
      <c r="AG125" s="180">
        <v>3</v>
      </c>
      <c r="AH125" s="139">
        <f t="shared" ref="AH125:AH176" si="43">SUM(AB125:AG125)</f>
        <v>3</v>
      </c>
      <c r="AI125" s="144" t="s">
        <v>572</v>
      </c>
      <c r="AJ125" s="141">
        <v>225</v>
      </c>
      <c r="AK125" s="141">
        <v>1803.8999999999999</v>
      </c>
      <c r="AL125" s="142">
        <f t="shared" ref="AL125:AL176" si="44">AJ125+AK125</f>
        <v>2028.8999999999999</v>
      </c>
      <c r="AM125" s="51">
        <f t="shared" ref="AM125:AM176" si="45">T125*AL125</f>
        <v>0</v>
      </c>
      <c r="AN125" s="51">
        <f t="shared" ref="AN125:AN176" si="46">U125*AL125</f>
        <v>0</v>
      </c>
      <c r="AO125" s="51">
        <f t="shared" ref="AO125:AO176" si="47">V125*AL125</f>
        <v>0</v>
      </c>
      <c r="AP125" s="51">
        <f t="shared" ref="AP125:AP176" si="48">W125*AL125</f>
        <v>0</v>
      </c>
      <c r="AQ125" s="51">
        <f t="shared" ref="AQ125:AQ176" si="49">X125*AL125</f>
        <v>0</v>
      </c>
      <c r="AR125" s="51">
        <f t="shared" ref="AR125:AR176" si="50">Y125*AL125</f>
        <v>0</v>
      </c>
      <c r="AS125" s="51">
        <f t="shared" ref="AS125:AS176" si="51">Z125*AL125</f>
        <v>0</v>
      </c>
      <c r="AT125" s="51">
        <f t="shared" si="39"/>
        <v>0</v>
      </c>
      <c r="AU125" s="54">
        <f t="shared" ref="AU125:AU176" si="52">AB125*AL125</f>
        <v>0</v>
      </c>
      <c r="AV125" s="54">
        <f t="shared" ref="AV125:AV176" si="53">AC125*AL125</f>
        <v>0</v>
      </c>
      <c r="AW125" s="54">
        <f t="shared" ref="AW125:AW176" si="54">AD125*AL125</f>
        <v>0</v>
      </c>
      <c r="AX125" s="54">
        <f t="shared" ref="AX125:AX176" si="55">AE125*AL125</f>
        <v>0</v>
      </c>
      <c r="AY125" s="54">
        <f t="shared" ref="AY125:AY176" si="56">AF125*AL125</f>
        <v>0</v>
      </c>
      <c r="AZ125" s="54">
        <f t="shared" ref="AZ125:AZ176" si="57">AG125*AL125</f>
        <v>6086.7</v>
      </c>
      <c r="BA125" s="54">
        <f t="shared" ref="BA125:BA176" si="58">SUM(AU125:AZ125)</f>
        <v>6086.7</v>
      </c>
      <c r="BB125" s="128"/>
    </row>
    <row r="126" spans="1:54">
      <c r="A126" s="170">
        <v>110</v>
      </c>
      <c r="B126" s="171" t="s">
        <v>660</v>
      </c>
      <c r="C126" s="172"/>
      <c r="D126" s="173" t="s">
        <v>661</v>
      </c>
      <c r="E126" s="174"/>
      <c r="F126" s="175"/>
      <c r="G126" s="175"/>
      <c r="H126" s="175"/>
      <c r="I126" s="175"/>
      <c r="J126" s="175"/>
      <c r="K126" s="175"/>
      <c r="L126" s="175">
        <f t="shared" si="40"/>
        <v>0</v>
      </c>
      <c r="M126" s="176"/>
      <c r="N126" s="176"/>
      <c r="O126" s="176"/>
      <c r="P126" s="176"/>
      <c r="Q126" s="176"/>
      <c r="R126" s="176"/>
      <c r="S126" s="176">
        <f t="shared" si="41"/>
        <v>0</v>
      </c>
      <c r="T126" s="177">
        <v>0</v>
      </c>
      <c r="U126" s="177">
        <v>0</v>
      </c>
      <c r="V126" s="178">
        <v>0</v>
      </c>
      <c r="W126" s="178">
        <v>0</v>
      </c>
      <c r="X126" s="178">
        <v>0</v>
      </c>
      <c r="Y126" s="179">
        <v>0</v>
      </c>
      <c r="Z126" s="178">
        <v>41</v>
      </c>
      <c r="AA126" s="136">
        <f t="shared" si="42"/>
        <v>41</v>
      </c>
      <c r="AB126" s="180">
        <v>0</v>
      </c>
      <c r="AC126" s="180">
        <v>0</v>
      </c>
      <c r="AD126" s="180">
        <v>0</v>
      </c>
      <c r="AE126" s="180">
        <v>0</v>
      </c>
      <c r="AF126" s="181">
        <v>0</v>
      </c>
      <c r="AG126" s="180">
        <v>0</v>
      </c>
      <c r="AH126" s="139">
        <f t="shared" si="43"/>
        <v>0</v>
      </c>
      <c r="AI126" s="144" t="s">
        <v>572</v>
      </c>
      <c r="AJ126" s="141">
        <v>62.5</v>
      </c>
      <c r="AK126" s="141">
        <v>562.5</v>
      </c>
      <c r="AL126" s="142">
        <f t="shared" si="44"/>
        <v>625</v>
      </c>
      <c r="AM126" s="51">
        <f t="shared" si="45"/>
        <v>0</v>
      </c>
      <c r="AN126" s="51">
        <f t="shared" si="46"/>
        <v>0</v>
      </c>
      <c r="AO126" s="51">
        <f t="shared" si="47"/>
        <v>0</v>
      </c>
      <c r="AP126" s="51">
        <f t="shared" si="48"/>
        <v>0</v>
      </c>
      <c r="AQ126" s="51">
        <f t="shared" si="49"/>
        <v>0</v>
      </c>
      <c r="AR126" s="51">
        <f t="shared" si="50"/>
        <v>0</v>
      </c>
      <c r="AS126" s="51">
        <f t="shared" si="51"/>
        <v>25625</v>
      </c>
      <c r="AT126" s="51">
        <f t="shared" ref="AT126:AT176" si="59">SUM(AM126:AS126)</f>
        <v>25625</v>
      </c>
      <c r="AU126" s="54">
        <f t="shared" si="52"/>
        <v>0</v>
      </c>
      <c r="AV126" s="54">
        <f t="shared" si="53"/>
        <v>0</v>
      </c>
      <c r="AW126" s="54">
        <f t="shared" si="54"/>
        <v>0</v>
      </c>
      <c r="AX126" s="54">
        <f t="shared" si="55"/>
        <v>0</v>
      </c>
      <c r="AY126" s="54">
        <f t="shared" si="56"/>
        <v>0</v>
      </c>
      <c r="AZ126" s="54">
        <f t="shared" si="57"/>
        <v>0</v>
      </c>
      <c r="BA126" s="54">
        <f t="shared" si="58"/>
        <v>0</v>
      </c>
      <c r="BB126" s="128"/>
    </row>
    <row r="127" spans="1:54" ht="23.1">
      <c r="A127" s="170">
        <v>111</v>
      </c>
      <c r="B127" s="171" t="s">
        <v>662</v>
      </c>
      <c r="C127" s="172"/>
      <c r="D127" s="173" t="s">
        <v>663</v>
      </c>
      <c r="E127" s="174"/>
      <c r="F127" s="175"/>
      <c r="G127" s="175"/>
      <c r="H127" s="175"/>
      <c r="I127" s="175"/>
      <c r="J127" s="175"/>
      <c r="K127" s="175"/>
      <c r="L127" s="175">
        <f t="shared" si="40"/>
        <v>0</v>
      </c>
      <c r="M127" s="176"/>
      <c r="N127" s="176"/>
      <c r="O127" s="176"/>
      <c r="P127" s="176"/>
      <c r="Q127" s="176"/>
      <c r="R127" s="176"/>
      <c r="S127" s="176">
        <f t="shared" si="41"/>
        <v>0</v>
      </c>
      <c r="T127" s="177">
        <v>0</v>
      </c>
      <c r="U127" s="177">
        <v>0</v>
      </c>
      <c r="V127" s="178">
        <v>0</v>
      </c>
      <c r="W127" s="178">
        <v>0</v>
      </c>
      <c r="X127" s="178">
        <v>0</v>
      </c>
      <c r="Y127" s="179">
        <v>0</v>
      </c>
      <c r="Z127" s="178">
        <v>52</v>
      </c>
      <c r="AA127" s="136">
        <f t="shared" si="42"/>
        <v>52</v>
      </c>
      <c r="AB127" s="180">
        <v>0</v>
      </c>
      <c r="AC127" s="180">
        <v>0</v>
      </c>
      <c r="AD127" s="180">
        <v>0</v>
      </c>
      <c r="AE127" s="180">
        <v>0</v>
      </c>
      <c r="AF127" s="181">
        <v>0</v>
      </c>
      <c r="AG127" s="180">
        <v>4</v>
      </c>
      <c r="AH127" s="139">
        <f t="shared" si="43"/>
        <v>4</v>
      </c>
      <c r="AI127" s="144" t="s">
        <v>572</v>
      </c>
      <c r="AJ127" s="141">
        <v>43.75</v>
      </c>
      <c r="AK127" s="141">
        <v>97.5</v>
      </c>
      <c r="AL127" s="142">
        <f t="shared" si="44"/>
        <v>141.25</v>
      </c>
      <c r="AM127" s="51">
        <f t="shared" si="45"/>
        <v>0</v>
      </c>
      <c r="AN127" s="51">
        <f t="shared" si="46"/>
        <v>0</v>
      </c>
      <c r="AO127" s="51">
        <f t="shared" si="47"/>
        <v>0</v>
      </c>
      <c r="AP127" s="51">
        <f t="shared" si="48"/>
        <v>0</v>
      </c>
      <c r="AQ127" s="51">
        <f t="shared" si="49"/>
        <v>0</v>
      </c>
      <c r="AR127" s="51">
        <f t="shared" si="50"/>
        <v>0</v>
      </c>
      <c r="AS127" s="51">
        <f t="shared" si="51"/>
        <v>7345</v>
      </c>
      <c r="AT127" s="51">
        <f t="shared" si="59"/>
        <v>7345</v>
      </c>
      <c r="AU127" s="54">
        <f t="shared" si="52"/>
        <v>0</v>
      </c>
      <c r="AV127" s="54">
        <f t="shared" si="53"/>
        <v>0</v>
      </c>
      <c r="AW127" s="54">
        <f t="shared" si="54"/>
        <v>0</v>
      </c>
      <c r="AX127" s="54">
        <f t="shared" si="55"/>
        <v>0</v>
      </c>
      <c r="AY127" s="54">
        <f t="shared" si="56"/>
        <v>0</v>
      </c>
      <c r="AZ127" s="54">
        <f t="shared" si="57"/>
        <v>565</v>
      </c>
      <c r="BA127" s="54">
        <f t="shared" si="58"/>
        <v>565</v>
      </c>
      <c r="BB127" s="128"/>
    </row>
    <row r="128" spans="1:54">
      <c r="A128" s="170">
        <v>112</v>
      </c>
      <c r="B128" s="171" t="s">
        <v>664</v>
      </c>
      <c r="C128" s="172"/>
      <c r="D128" s="173" t="s">
        <v>665</v>
      </c>
      <c r="E128" s="174"/>
      <c r="F128" s="175"/>
      <c r="G128" s="175"/>
      <c r="H128" s="175"/>
      <c r="I128" s="175"/>
      <c r="J128" s="175"/>
      <c r="K128" s="175"/>
      <c r="L128" s="175">
        <f t="shared" si="40"/>
        <v>0</v>
      </c>
      <c r="M128" s="176"/>
      <c r="N128" s="176"/>
      <c r="O128" s="176"/>
      <c r="P128" s="176"/>
      <c r="Q128" s="176"/>
      <c r="R128" s="176"/>
      <c r="S128" s="176">
        <f t="shared" si="41"/>
        <v>0</v>
      </c>
      <c r="T128" s="177">
        <v>0</v>
      </c>
      <c r="U128" s="177">
        <v>0</v>
      </c>
      <c r="V128" s="178">
        <v>0</v>
      </c>
      <c r="W128" s="178">
        <v>0</v>
      </c>
      <c r="X128" s="178">
        <v>0</v>
      </c>
      <c r="Y128" s="179">
        <v>0</v>
      </c>
      <c r="Z128" s="178">
        <v>80</v>
      </c>
      <c r="AA128" s="136">
        <f t="shared" si="42"/>
        <v>80</v>
      </c>
      <c r="AB128" s="180">
        <v>0</v>
      </c>
      <c r="AC128" s="180">
        <v>0</v>
      </c>
      <c r="AD128" s="180">
        <v>0</v>
      </c>
      <c r="AE128" s="180">
        <v>0</v>
      </c>
      <c r="AF128" s="181">
        <v>0</v>
      </c>
      <c r="AG128" s="180">
        <v>22</v>
      </c>
      <c r="AH128" s="139">
        <f t="shared" si="43"/>
        <v>22</v>
      </c>
      <c r="AI128" s="144" t="s">
        <v>572</v>
      </c>
      <c r="AJ128" s="141">
        <v>100</v>
      </c>
      <c r="AK128" s="141">
        <v>250</v>
      </c>
      <c r="AL128" s="142">
        <f t="shared" si="44"/>
        <v>350</v>
      </c>
      <c r="AM128" s="51">
        <f t="shared" si="45"/>
        <v>0</v>
      </c>
      <c r="AN128" s="51">
        <f t="shared" si="46"/>
        <v>0</v>
      </c>
      <c r="AO128" s="51">
        <f t="shared" si="47"/>
        <v>0</v>
      </c>
      <c r="AP128" s="51">
        <f t="shared" si="48"/>
        <v>0</v>
      </c>
      <c r="AQ128" s="51">
        <f t="shared" si="49"/>
        <v>0</v>
      </c>
      <c r="AR128" s="51">
        <f t="shared" si="50"/>
        <v>0</v>
      </c>
      <c r="AS128" s="51">
        <f t="shared" si="51"/>
        <v>28000</v>
      </c>
      <c r="AT128" s="51">
        <f t="shared" si="59"/>
        <v>28000</v>
      </c>
      <c r="AU128" s="54">
        <f t="shared" si="52"/>
        <v>0</v>
      </c>
      <c r="AV128" s="54">
        <f t="shared" si="53"/>
        <v>0</v>
      </c>
      <c r="AW128" s="54">
        <f t="shared" si="54"/>
        <v>0</v>
      </c>
      <c r="AX128" s="54">
        <f t="shared" si="55"/>
        <v>0</v>
      </c>
      <c r="AY128" s="54">
        <f t="shared" si="56"/>
        <v>0</v>
      </c>
      <c r="AZ128" s="54">
        <f t="shared" si="57"/>
        <v>7700</v>
      </c>
      <c r="BA128" s="54">
        <f t="shared" si="58"/>
        <v>7700</v>
      </c>
      <c r="BB128" s="128"/>
    </row>
    <row r="129" spans="1:54">
      <c r="A129" s="170">
        <v>113</v>
      </c>
      <c r="B129" s="171" t="s">
        <v>666</v>
      </c>
      <c r="C129" s="172"/>
      <c r="D129" s="173"/>
      <c r="E129" s="174"/>
      <c r="F129" s="175"/>
      <c r="G129" s="175"/>
      <c r="H129" s="175"/>
      <c r="I129" s="175"/>
      <c r="J129" s="175"/>
      <c r="K129" s="175"/>
      <c r="L129" s="175">
        <f t="shared" si="40"/>
        <v>0</v>
      </c>
      <c r="M129" s="176"/>
      <c r="N129" s="176"/>
      <c r="O129" s="176"/>
      <c r="P129" s="176"/>
      <c r="Q129" s="176"/>
      <c r="R129" s="176"/>
      <c r="S129" s="176">
        <f t="shared" si="41"/>
        <v>0</v>
      </c>
      <c r="T129" s="177">
        <v>0</v>
      </c>
      <c r="U129" s="177">
        <v>0</v>
      </c>
      <c r="V129" s="178">
        <v>0</v>
      </c>
      <c r="W129" s="178">
        <v>0</v>
      </c>
      <c r="X129" s="178">
        <v>0</v>
      </c>
      <c r="Y129" s="179">
        <v>0</v>
      </c>
      <c r="Z129" s="178">
        <v>128</v>
      </c>
      <c r="AA129" s="136">
        <f t="shared" si="42"/>
        <v>128</v>
      </c>
      <c r="AB129" s="180">
        <v>0</v>
      </c>
      <c r="AC129" s="180">
        <v>0</v>
      </c>
      <c r="AD129" s="180">
        <v>0</v>
      </c>
      <c r="AE129" s="180">
        <v>0</v>
      </c>
      <c r="AF129" s="181">
        <v>0</v>
      </c>
      <c r="AG129" s="180">
        <v>48</v>
      </c>
      <c r="AH129" s="139">
        <f t="shared" si="43"/>
        <v>48</v>
      </c>
      <c r="AI129" s="144" t="s">
        <v>572</v>
      </c>
      <c r="AJ129" s="141">
        <v>43.75</v>
      </c>
      <c r="AK129" s="141">
        <v>97.5</v>
      </c>
      <c r="AL129" s="142">
        <f t="shared" si="44"/>
        <v>141.25</v>
      </c>
      <c r="AM129" s="51">
        <f t="shared" si="45"/>
        <v>0</v>
      </c>
      <c r="AN129" s="51">
        <f t="shared" si="46"/>
        <v>0</v>
      </c>
      <c r="AO129" s="51">
        <f t="shared" si="47"/>
        <v>0</v>
      </c>
      <c r="AP129" s="51">
        <f t="shared" si="48"/>
        <v>0</v>
      </c>
      <c r="AQ129" s="51">
        <f t="shared" si="49"/>
        <v>0</v>
      </c>
      <c r="AR129" s="51">
        <f t="shared" si="50"/>
        <v>0</v>
      </c>
      <c r="AS129" s="51">
        <f t="shared" si="51"/>
        <v>18080</v>
      </c>
      <c r="AT129" s="51">
        <f t="shared" si="59"/>
        <v>18080</v>
      </c>
      <c r="AU129" s="54">
        <f t="shared" si="52"/>
        <v>0</v>
      </c>
      <c r="AV129" s="54">
        <f t="shared" si="53"/>
        <v>0</v>
      </c>
      <c r="AW129" s="54">
        <f t="shared" si="54"/>
        <v>0</v>
      </c>
      <c r="AX129" s="54">
        <f t="shared" si="55"/>
        <v>0</v>
      </c>
      <c r="AY129" s="54">
        <f t="shared" si="56"/>
        <v>0</v>
      </c>
      <c r="AZ129" s="54">
        <f t="shared" si="57"/>
        <v>6780</v>
      </c>
      <c r="BA129" s="54">
        <f t="shared" si="58"/>
        <v>6780</v>
      </c>
      <c r="BB129" s="128"/>
    </row>
    <row r="130" spans="1:54">
      <c r="A130" s="170">
        <v>114</v>
      </c>
      <c r="B130" s="171" t="s">
        <v>667</v>
      </c>
      <c r="C130" s="172"/>
      <c r="D130" s="173"/>
      <c r="E130" s="174"/>
      <c r="F130" s="175"/>
      <c r="G130" s="175"/>
      <c r="H130" s="175"/>
      <c r="I130" s="175"/>
      <c r="J130" s="175"/>
      <c r="K130" s="175"/>
      <c r="L130" s="175">
        <f t="shared" si="40"/>
        <v>0</v>
      </c>
      <c r="M130" s="176"/>
      <c r="N130" s="176"/>
      <c r="O130" s="176"/>
      <c r="P130" s="176"/>
      <c r="Q130" s="176"/>
      <c r="R130" s="176"/>
      <c r="S130" s="176">
        <f t="shared" si="41"/>
        <v>0</v>
      </c>
      <c r="T130" s="177">
        <v>0</v>
      </c>
      <c r="U130" s="177">
        <v>0</v>
      </c>
      <c r="V130" s="178">
        <v>0</v>
      </c>
      <c r="W130" s="178">
        <v>0</v>
      </c>
      <c r="X130" s="178">
        <v>0</v>
      </c>
      <c r="Y130" s="179">
        <v>0</v>
      </c>
      <c r="Z130" s="178">
        <v>8</v>
      </c>
      <c r="AA130" s="136">
        <f t="shared" si="42"/>
        <v>8</v>
      </c>
      <c r="AB130" s="180">
        <v>0</v>
      </c>
      <c r="AC130" s="180">
        <v>0</v>
      </c>
      <c r="AD130" s="180">
        <v>0</v>
      </c>
      <c r="AE130" s="180">
        <v>0</v>
      </c>
      <c r="AF130" s="181">
        <v>0</v>
      </c>
      <c r="AG130" s="180">
        <v>30</v>
      </c>
      <c r="AH130" s="139">
        <f t="shared" si="43"/>
        <v>30</v>
      </c>
      <c r="AI130" s="144" t="s">
        <v>572</v>
      </c>
      <c r="AJ130" s="141">
        <v>150</v>
      </c>
      <c r="AK130" s="141">
        <v>0</v>
      </c>
      <c r="AL130" s="142">
        <f t="shared" si="44"/>
        <v>150</v>
      </c>
      <c r="AM130" s="51">
        <f t="shared" si="45"/>
        <v>0</v>
      </c>
      <c r="AN130" s="51">
        <f t="shared" si="46"/>
        <v>0</v>
      </c>
      <c r="AO130" s="51">
        <f t="shared" si="47"/>
        <v>0</v>
      </c>
      <c r="AP130" s="51">
        <f t="shared" si="48"/>
        <v>0</v>
      </c>
      <c r="AQ130" s="51">
        <f t="shared" si="49"/>
        <v>0</v>
      </c>
      <c r="AR130" s="51">
        <f t="shared" si="50"/>
        <v>0</v>
      </c>
      <c r="AS130" s="51">
        <f t="shared" si="51"/>
        <v>1200</v>
      </c>
      <c r="AT130" s="51">
        <f t="shared" si="59"/>
        <v>1200</v>
      </c>
      <c r="AU130" s="54">
        <f t="shared" si="52"/>
        <v>0</v>
      </c>
      <c r="AV130" s="54">
        <f t="shared" si="53"/>
        <v>0</v>
      </c>
      <c r="AW130" s="54">
        <f t="shared" si="54"/>
        <v>0</v>
      </c>
      <c r="AX130" s="54">
        <f t="shared" si="55"/>
        <v>0</v>
      </c>
      <c r="AY130" s="54">
        <f t="shared" si="56"/>
        <v>0</v>
      </c>
      <c r="AZ130" s="54">
        <f t="shared" si="57"/>
        <v>4500</v>
      </c>
      <c r="BA130" s="54">
        <f t="shared" si="58"/>
        <v>4500</v>
      </c>
      <c r="BB130" s="128"/>
    </row>
    <row r="131" spans="1:54">
      <c r="A131" s="170">
        <v>115</v>
      </c>
      <c r="B131" s="171" t="s">
        <v>668</v>
      </c>
      <c r="C131" s="172"/>
      <c r="D131" s="173" t="s">
        <v>669</v>
      </c>
      <c r="E131" s="174"/>
      <c r="F131" s="175"/>
      <c r="G131" s="175"/>
      <c r="H131" s="175"/>
      <c r="I131" s="175"/>
      <c r="J131" s="175"/>
      <c r="K131" s="175"/>
      <c r="L131" s="175">
        <f t="shared" si="40"/>
        <v>0</v>
      </c>
      <c r="M131" s="176"/>
      <c r="N131" s="176"/>
      <c r="O131" s="176"/>
      <c r="P131" s="176"/>
      <c r="Q131" s="176"/>
      <c r="R131" s="176"/>
      <c r="S131" s="176">
        <f t="shared" si="41"/>
        <v>0</v>
      </c>
      <c r="T131" s="177">
        <v>0</v>
      </c>
      <c r="U131" s="177">
        <v>0</v>
      </c>
      <c r="V131" s="178">
        <v>0</v>
      </c>
      <c r="W131" s="178">
        <v>0</v>
      </c>
      <c r="X131" s="178">
        <v>0</v>
      </c>
      <c r="Y131" s="179">
        <v>0</v>
      </c>
      <c r="Z131" s="178">
        <v>36</v>
      </c>
      <c r="AA131" s="136">
        <f t="shared" si="42"/>
        <v>36</v>
      </c>
      <c r="AB131" s="180">
        <v>0</v>
      </c>
      <c r="AC131" s="180">
        <v>0</v>
      </c>
      <c r="AD131" s="180">
        <v>0</v>
      </c>
      <c r="AE131" s="180">
        <v>0</v>
      </c>
      <c r="AF131" s="181">
        <v>0</v>
      </c>
      <c r="AG131" s="180">
        <v>0</v>
      </c>
      <c r="AH131" s="139">
        <f t="shared" si="43"/>
        <v>0</v>
      </c>
      <c r="AI131" s="144" t="s">
        <v>572</v>
      </c>
      <c r="AJ131" s="141">
        <v>43.75</v>
      </c>
      <c r="AK131" s="141">
        <v>68.75</v>
      </c>
      <c r="AL131" s="142">
        <f t="shared" si="44"/>
        <v>112.5</v>
      </c>
      <c r="AM131" s="51">
        <f t="shared" si="45"/>
        <v>0</v>
      </c>
      <c r="AN131" s="51">
        <f t="shared" si="46"/>
        <v>0</v>
      </c>
      <c r="AO131" s="51">
        <f t="shared" si="47"/>
        <v>0</v>
      </c>
      <c r="AP131" s="51">
        <f t="shared" si="48"/>
        <v>0</v>
      </c>
      <c r="AQ131" s="51">
        <f t="shared" si="49"/>
        <v>0</v>
      </c>
      <c r="AR131" s="51">
        <f t="shared" si="50"/>
        <v>0</v>
      </c>
      <c r="AS131" s="51">
        <f t="shared" si="51"/>
        <v>4050</v>
      </c>
      <c r="AT131" s="51">
        <f t="shared" si="59"/>
        <v>4050</v>
      </c>
      <c r="AU131" s="54">
        <f t="shared" si="52"/>
        <v>0</v>
      </c>
      <c r="AV131" s="54">
        <f t="shared" si="53"/>
        <v>0</v>
      </c>
      <c r="AW131" s="54">
        <f t="shared" si="54"/>
        <v>0</v>
      </c>
      <c r="AX131" s="54">
        <f t="shared" si="55"/>
        <v>0</v>
      </c>
      <c r="AY131" s="54">
        <f t="shared" si="56"/>
        <v>0</v>
      </c>
      <c r="AZ131" s="54">
        <f t="shared" si="57"/>
        <v>0</v>
      </c>
      <c r="BA131" s="54">
        <f t="shared" si="58"/>
        <v>0</v>
      </c>
      <c r="BB131" s="128"/>
    </row>
    <row r="132" spans="1:54">
      <c r="A132" s="170">
        <v>116</v>
      </c>
      <c r="B132" s="171" t="s">
        <v>670</v>
      </c>
      <c r="C132" s="172"/>
      <c r="D132" s="173" t="s">
        <v>669</v>
      </c>
      <c r="E132" s="174"/>
      <c r="F132" s="175"/>
      <c r="G132" s="175"/>
      <c r="H132" s="175"/>
      <c r="I132" s="175"/>
      <c r="J132" s="175"/>
      <c r="K132" s="175"/>
      <c r="L132" s="175">
        <f t="shared" si="40"/>
        <v>0</v>
      </c>
      <c r="M132" s="176"/>
      <c r="N132" s="176"/>
      <c r="O132" s="176"/>
      <c r="P132" s="176"/>
      <c r="Q132" s="176"/>
      <c r="R132" s="176"/>
      <c r="S132" s="176">
        <f t="shared" si="41"/>
        <v>0</v>
      </c>
      <c r="T132" s="177">
        <v>0</v>
      </c>
      <c r="U132" s="177">
        <v>0</v>
      </c>
      <c r="V132" s="178">
        <v>0</v>
      </c>
      <c r="W132" s="178">
        <v>0</v>
      </c>
      <c r="X132" s="178">
        <v>0</v>
      </c>
      <c r="Y132" s="179">
        <v>0</v>
      </c>
      <c r="Z132" s="178">
        <v>3</v>
      </c>
      <c r="AA132" s="136">
        <f t="shared" si="42"/>
        <v>3</v>
      </c>
      <c r="AB132" s="180">
        <v>0</v>
      </c>
      <c r="AC132" s="180">
        <v>0</v>
      </c>
      <c r="AD132" s="180">
        <v>0</v>
      </c>
      <c r="AE132" s="180">
        <v>0</v>
      </c>
      <c r="AF132" s="181">
        <v>0</v>
      </c>
      <c r="AG132" s="180">
        <v>6</v>
      </c>
      <c r="AH132" s="139">
        <f t="shared" si="43"/>
        <v>6</v>
      </c>
      <c r="AI132" s="144" t="s">
        <v>572</v>
      </c>
      <c r="AJ132" s="141">
        <v>43.75</v>
      </c>
      <c r="AK132" s="141">
        <v>112.5</v>
      </c>
      <c r="AL132" s="142">
        <f t="shared" si="44"/>
        <v>156.25</v>
      </c>
      <c r="AM132" s="51">
        <f t="shared" si="45"/>
        <v>0</v>
      </c>
      <c r="AN132" s="51">
        <f t="shared" si="46"/>
        <v>0</v>
      </c>
      <c r="AO132" s="51">
        <f t="shared" si="47"/>
        <v>0</v>
      </c>
      <c r="AP132" s="51">
        <f t="shared" si="48"/>
        <v>0</v>
      </c>
      <c r="AQ132" s="51">
        <f t="shared" si="49"/>
        <v>0</v>
      </c>
      <c r="AR132" s="51">
        <f t="shared" si="50"/>
        <v>0</v>
      </c>
      <c r="AS132" s="51">
        <f t="shared" si="51"/>
        <v>468.75</v>
      </c>
      <c r="AT132" s="51">
        <f t="shared" si="59"/>
        <v>468.75</v>
      </c>
      <c r="AU132" s="54">
        <f t="shared" si="52"/>
        <v>0</v>
      </c>
      <c r="AV132" s="54">
        <f t="shared" si="53"/>
        <v>0</v>
      </c>
      <c r="AW132" s="54">
        <f t="shared" si="54"/>
        <v>0</v>
      </c>
      <c r="AX132" s="54">
        <f t="shared" si="55"/>
        <v>0</v>
      </c>
      <c r="AY132" s="54">
        <f t="shared" si="56"/>
        <v>0</v>
      </c>
      <c r="AZ132" s="54">
        <f t="shared" si="57"/>
        <v>937.5</v>
      </c>
      <c r="BA132" s="54">
        <f t="shared" si="58"/>
        <v>937.5</v>
      </c>
      <c r="BB132" s="128"/>
    </row>
    <row r="133" spans="1:54">
      <c r="A133" s="170">
        <v>117</v>
      </c>
      <c r="B133" s="171" t="s">
        <v>671</v>
      </c>
      <c r="C133" s="172"/>
      <c r="D133" s="173" t="s">
        <v>672</v>
      </c>
      <c r="E133" s="174"/>
      <c r="F133" s="175"/>
      <c r="G133" s="175"/>
      <c r="H133" s="175"/>
      <c r="I133" s="175"/>
      <c r="J133" s="175"/>
      <c r="K133" s="175"/>
      <c r="L133" s="175">
        <f t="shared" si="40"/>
        <v>0</v>
      </c>
      <c r="M133" s="176"/>
      <c r="N133" s="176"/>
      <c r="O133" s="176"/>
      <c r="P133" s="176"/>
      <c r="Q133" s="176"/>
      <c r="R133" s="176"/>
      <c r="S133" s="176">
        <f t="shared" si="41"/>
        <v>0</v>
      </c>
      <c r="T133" s="177">
        <v>0</v>
      </c>
      <c r="U133" s="177">
        <v>86.5</v>
      </c>
      <c r="V133" s="178">
        <v>128</v>
      </c>
      <c r="W133" s="178">
        <v>210</v>
      </c>
      <c r="X133" s="178">
        <v>177</v>
      </c>
      <c r="Y133" s="179">
        <v>207</v>
      </c>
      <c r="Z133" s="178">
        <v>0</v>
      </c>
      <c r="AA133" s="136">
        <f t="shared" si="42"/>
        <v>808.5</v>
      </c>
      <c r="AB133" s="180">
        <v>71.858399999999989</v>
      </c>
      <c r="AC133" s="180">
        <v>71.858399999999989</v>
      </c>
      <c r="AD133" s="180">
        <v>119.64</v>
      </c>
      <c r="AE133" s="180">
        <v>129.08399999999997</v>
      </c>
      <c r="AF133" s="181">
        <v>144</v>
      </c>
      <c r="AG133" s="180">
        <v>150.72</v>
      </c>
      <c r="AH133" s="139">
        <f t="shared" si="43"/>
        <v>687.16079999999999</v>
      </c>
      <c r="AI133" s="144" t="s">
        <v>548</v>
      </c>
      <c r="AJ133" s="141">
        <v>18.75</v>
      </c>
      <c r="AK133" s="141">
        <v>12.5</v>
      </c>
      <c r="AL133" s="142">
        <f t="shared" si="44"/>
        <v>31.25</v>
      </c>
      <c r="AM133" s="51">
        <f t="shared" si="45"/>
        <v>0</v>
      </c>
      <c r="AN133" s="51">
        <f t="shared" si="46"/>
        <v>2703.125</v>
      </c>
      <c r="AO133" s="51">
        <f t="shared" si="47"/>
        <v>4000</v>
      </c>
      <c r="AP133" s="51">
        <f t="shared" si="48"/>
        <v>6562.5</v>
      </c>
      <c r="AQ133" s="51">
        <f t="shared" si="49"/>
        <v>5531.25</v>
      </c>
      <c r="AR133" s="51">
        <f t="shared" si="50"/>
        <v>6468.75</v>
      </c>
      <c r="AS133" s="51">
        <f t="shared" si="51"/>
        <v>0</v>
      </c>
      <c r="AT133" s="51">
        <f t="shared" si="59"/>
        <v>25265.625</v>
      </c>
      <c r="AU133" s="54">
        <f t="shared" si="52"/>
        <v>2245.5749999999998</v>
      </c>
      <c r="AV133" s="54">
        <f t="shared" si="53"/>
        <v>2245.5749999999998</v>
      </c>
      <c r="AW133" s="54">
        <f t="shared" si="54"/>
        <v>3738.75</v>
      </c>
      <c r="AX133" s="54">
        <f t="shared" si="55"/>
        <v>4033.8749999999991</v>
      </c>
      <c r="AY133" s="54">
        <f t="shared" si="56"/>
        <v>4500</v>
      </c>
      <c r="AZ133" s="54">
        <f t="shared" si="57"/>
        <v>4710</v>
      </c>
      <c r="BA133" s="54">
        <f t="shared" si="58"/>
        <v>21473.774999999998</v>
      </c>
      <c r="BB133" s="128"/>
    </row>
    <row r="134" spans="1:54">
      <c r="A134" s="170">
        <v>118</v>
      </c>
      <c r="B134" s="171" t="s">
        <v>673</v>
      </c>
      <c r="C134" s="172"/>
      <c r="D134" s="173" t="s">
        <v>672</v>
      </c>
      <c r="E134" s="174"/>
      <c r="F134" s="175"/>
      <c r="G134" s="175"/>
      <c r="H134" s="175"/>
      <c r="I134" s="175"/>
      <c r="J134" s="175"/>
      <c r="K134" s="175"/>
      <c r="L134" s="175">
        <f t="shared" si="40"/>
        <v>0</v>
      </c>
      <c r="M134" s="176"/>
      <c r="N134" s="176"/>
      <c r="O134" s="176"/>
      <c r="P134" s="176"/>
      <c r="Q134" s="176"/>
      <c r="R134" s="176"/>
      <c r="S134" s="176">
        <f t="shared" si="41"/>
        <v>0</v>
      </c>
      <c r="T134" s="177">
        <v>0</v>
      </c>
      <c r="U134" s="177">
        <v>0</v>
      </c>
      <c r="V134" s="178">
        <v>9.1999999999999993</v>
      </c>
      <c r="W134" s="178">
        <v>4</v>
      </c>
      <c r="X134" s="178">
        <v>3.5</v>
      </c>
      <c r="Y134" s="179">
        <v>4</v>
      </c>
      <c r="Z134" s="178">
        <v>0</v>
      </c>
      <c r="AA134" s="136">
        <f t="shared" si="42"/>
        <v>20.7</v>
      </c>
      <c r="AB134" s="180">
        <v>0</v>
      </c>
      <c r="AC134" s="180">
        <v>6.48</v>
      </c>
      <c r="AD134" s="180">
        <v>4.9907999999999992</v>
      </c>
      <c r="AE134" s="180">
        <v>2.4407999999999999</v>
      </c>
      <c r="AF134" s="181">
        <v>22.943999999999999</v>
      </c>
      <c r="AG134" s="180">
        <v>0</v>
      </c>
      <c r="AH134" s="139">
        <f t="shared" si="43"/>
        <v>36.855599999999995</v>
      </c>
      <c r="AI134" s="144" t="s">
        <v>548</v>
      </c>
      <c r="AJ134" s="141">
        <v>25</v>
      </c>
      <c r="AK134" s="141">
        <v>18.75</v>
      </c>
      <c r="AL134" s="142">
        <f t="shared" si="44"/>
        <v>43.75</v>
      </c>
      <c r="AM134" s="51">
        <f t="shared" si="45"/>
        <v>0</v>
      </c>
      <c r="AN134" s="51">
        <f t="shared" si="46"/>
        <v>0</v>
      </c>
      <c r="AO134" s="51">
        <f t="shared" si="47"/>
        <v>402.49999999999994</v>
      </c>
      <c r="AP134" s="51">
        <f t="shared" si="48"/>
        <v>175</v>
      </c>
      <c r="AQ134" s="51">
        <f t="shared" si="49"/>
        <v>153.125</v>
      </c>
      <c r="AR134" s="51">
        <f t="shared" si="50"/>
        <v>175</v>
      </c>
      <c r="AS134" s="51">
        <f t="shared" si="51"/>
        <v>0</v>
      </c>
      <c r="AT134" s="51">
        <f t="shared" si="59"/>
        <v>905.625</v>
      </c>
      <c r="AU134" s="54">
        <f t="shared" si="52"/>
        <v>0</v>
      </c>
      <c r="AV134" s="54">
        <f t="shared" si="53"/>
        <v>283.5</v>
      </c>
      <c r="AW134" s="54">
        <f t="shared" si="54"/>
        <v>218.34749999999997</v>
      </c>
      <c r="AX134" s="54">
        <f t="shared" si="55"/>
        <v>106.785</v>
      </c>
      <c r="AY134" s="54">
        <f t="shared" si="56"/>
        <v>1003.8</v>
      </c>
      <c r="AZ134" s="54">
        <f t="shared" si="57"/>
        <v>0</v>
      </c>
      <c r="BA134" s="54">
        <f t="shared" si="58"/>
        <v>1612.4324999999999</v>
      </c>
      <c r="BB134" s="128"/>
    </row>
    <row r="135" spans="1:54">
      <c r="A135" s="170">
        <v>119</v>
      </c>
      <c r="B135" s="171" t="s">
        <v>674</v>
      </c>
      <c r="C135" s="172"/>
      <c r="D135" s="173" t="s">
        <v>672</v>
      </c>
      <c r="E135" s="174"/>
      <c r="F135" s="175"/>
      <c r="G135" s="175"/>
      <c r="H135" s="175"/>
      <c r="I135" s="175"/>
      <c r="J135" s="175"/>
      <c r="K135" s="175"/>
      <c r="L135" s="175">
        <f t="shared" si="40"/>
        <v>0</v>
      </c>
      <c r="M135" s="176"/>
      <c r="N135" s="176"/>
      <c r="O135" s="176"/>
      <c r="P135" s="176"/>
      <c r="Q135" s="176"/>
      <c r="R135" s="176"/>
      <c r="S135" s="176">
        <f t="shared" si="41"/>
        <v>0</v>
      </c>
      <c r="T135" s="177">
        <v>0</v>
      </c>
      <c r="U135" s="177">
        <v>151.5</v>
      </c>
      <c r="V135" s="178">
        <v>25</v>
      </c>
      <c r="W135" s="178">
        <v>35</v>
      </c>
      <c r="X135" s="178">
        <v>30</v>
      </c>
      <c r="Y135" s="179">
        <v>35</v>
      </c>
      <c r="Z135" s="178">
        <v>0</v>
      </c>
      <c r="AA135" s="136">
        <f t="shared" si="42"/>
        <v>276.5</v>
      </c>
      <c r="AB135" s="180">
        <v>124.818</v>
      </c>
      <c r="AC135" s="180">
        <v>28.799999999999997</v>
      </c>
      <c r="AD135" s="180">
        <v>28.799999999999997</v>
      </c>
      <c r="AE135" s="180">
        <v>28.799999999999997</v>
      </c>
      <c r="AF135" s="181">
        <v>28.799999999999997</v>
      </c>
      <c r="AG135" s="180">
        <v>0</v>
      </c>
      <c r="AH135" s="139">
        <f t="shared" si="43"/>
        <v>240.01800000000003</v>
      </c>
      <c r="AI135" s="144" t="s">
        <v>548</v>
      </c>
      <c r="AJ135" s="141">
        <v>31.25</v>
      </c>
      <c r="AK135" s="141">
        <v>18.75</v>
      </c>
      <c r="AL135" s="142">
        <f t="shared" si="44"/>
        <v>50</v>
      </c>
      <c r="AM135" s="51">
        <f t="shared" si="45"/>
        <v>0</v>
      </c>
      <c r="AN135" s="51">
        <f t="shared" si="46"/>
        <v>7575</v>
      </c>
      <c r="AO135" s="51">
        <f t="shared" si="47"/>
        <v>1250</v>
      </c>
      <c r="AP135" s="51">
        <f t="shared" si="48"/>
        <v>1750</v>
      </c>
      <c r="AQ135" s="51">
        <f t="shared" si="49"/>
        <v>1500</v>
      </c>
      <c r="AR135" s="51">
        <f t="shared" si="50"/>
        <v>1750</v>
      </c>
      <c r="AS135" s="51">
        <f t="shared" si="51"/>
        <v>0</v>
      </c>
      <c r="AT135" s="51">
        <f t="shared" si="59"/>
        <v>13825</v>
      </c>
      <c r="AU135" s="54">
        <f t="shared" si="52"/>
        <v>6240.9</v>
      </c>
      <c r="AV135" s="54">
        <f t="shared" si="53"/>
        <v>1439.9999999999998</v>
      </c>
      <c r="AW135" s="54">
        <f t="shared" si="54"/>
        <v>1439.9999999999998</v>
      </c>
      <c r="AX135" s="54">
        <f t="shared" si="55"/>
        <v>1439.9999999999998</v>
      </c>
      <c r="AY135" s="54">
        <f t="shared" si="56"/>
        <v>1439.9999999999998</v>
      </c>
      <c r="AZ135" s="54">
        <f t="shared" si="57"/>
        <v>0</v>
      </c>
      <c r="BA135" s="54">
        <f t="shared" si="58"/>
        <v>12000.9</v>
      </c>
      <c r="BB135" s="128"/>
    </row>
    <row r="136" spans="1:54">
      <c r="A136" s="170">
        <v>120</v>
      </c>
      <c r="B136" s="171" t="s">
        <v>675</v>
      </c>
      <c r="C136" s="172"/>
      <c r="D136" s="173" t="s">
        <v>672</v>
      </c>
      <c r="E136" s="174"/>
      <c r="F136" s="175"/>
      <c r="G136" s="175"/>
      <c r="H136" s="175"/>
      <c r="I136" s="175"/>
      <c r="J136" s="175"/>
      <c r="K136" s="175"/>
      <c r="L136" s="175">
        <f t="shared" si="40"/>
        <v>0</v>
      </c>
      <c r="M136" s="176"/>
      <c r="N136" s="176"/>
      <c r="O136" s="176"/>
      <c r="P136" s="176"/>
      <c r="Q136" s="176"/>
      <c r="R136" s="176"/>
      <c r="S136" s="176">
        <f t="shared" si="41"/>
        <v>0</v>
      </c>
      <c r="T136" s="177">
        <v>0</v>
      </c>
      <c r="U136" s="177">
        <v>423</v>
      </c>
      <c r="V136" s="178">
        <v>180</v>
      </c>
      <c r="W136" s="178">
        <v>216</v>
      </c>
      <c r="X136" s="178">
        <v>161.5</v>
      </c>
      <c r="Y136" s="179">
        <v>0</v>
      </c>
      <c r="Z136" s="178">
        <v>0</v>
      </c>
      <c r="AA136" s="136">
        <f t="shared" si="42"/>
        <v>980.5</v>
      </c>
      <c r="AB136" s="180">
        <v>329.46719999999999</v>
      </c>
      <c r="AC136" s="180">
        <v>329.46719999999999</v>
      </c>
      <c r="AD136" s="180">
        <v>161.63999999999999</v>
      </c>
      <c r="AE136" s="180">
        <v>168.57599999999999</v>
      </c>
      <c r="AF136" s="181">
        <v>163.08000000000001</v>
      </c>
      <c r="AG136" s="180">
        <v>164.04</v>
      </c>
      <c r="AH136" s="139">
        <f t="shared" si="43"/>
        <v>1316.2703999999999</v>
      </c>
      <c r="AI136" s="144" t="s">
        <v>548</v>
      </c>
      <c r="AJ136" s="141">
        <v>35</v>
      </c>
      <c r="AK136" s="141">
        <v>25</v>
      </c>
      <c r="AL136" s="142">
        <f t="shared" si="44"/>
        <v>60</v>
      </c>
      <c r="AM136" s="51">
        <f t="shared" si="45"/>
        <v>0</v>
      </c>
      <c r="AN136" s="51">
        <f t="shared" si="46"/>
        <v>25380</v>
      </c>
      <c r="AO136" s="51">
        <f t="shared" si="47"/>
        <v>10800</v>
      </c>
      <c r="AP136" s="51">
        <f t="shared" si="48"/>
        <v>12960</v>
      </c>
      <c r="AQ136" s="51">
        <f t="shared" si="49"/>
        <v>9690</v>
      </c>
      <c r="AR136" s="51">
        <f t="shared" si="50"/>
        <v>0</v>
      </c>
      <c r="AS136" s="51">
        <f t="shared" si="51"/>
        <v>0</v>
      </c>
      <c r="AT136" s="51">
        <f t="shared" si="59"/>
        <v>58830</v>
      </c>
      <c r="AU136" s="54">
        <f t="shared" si="52"/>
        <v>19768.031999999999</v>
      </c>
      <c r="AV136" s="54">
        <f t="shared" si="53"/>
        <v>19768.031999999999</v>
      </c>
      <c r="AW136" s="54">
        <f t="shared" si="54"/>
        <v>9698.4</v>
      </c>
      <c r="AX136" s="54">
        <f t="shared" si="55"/>
        <v>10114.56</v>
      </c>
      <c r="AY136" s="54">
        <f t="shared" si="56"/>
        <v>9784.8000000000011</v>
      </c>
      <c r="AZ136" s="54">
        <f t="shared" si="57"/>
        <v>9842.4</v>
      </c>
      <c r="BA136" s="54">
        <f t="shared" si="58"/>
        <v>78976.223999999987</v>
      </c>
      <c r="BB136" s="128"/>
    </row>
    <row r="137" spans="1:54">
      <c r="A137" s="170">
        <v>121</v>
      </c>
      <c r="B137" s="171" t="s">
        <v>676</v>
      </c>
      <c r="C137" s="172"/>
      <c r="D137" s="173" t="s">
        <v>672</v>
      </c>
      <c r="E137" s="174"/>
      <c r="F137" s="175"/>
      <c r="G137" s="175"/>
      <c r="H137" s="175"/>
      <c r="I137" s="175"/>
      <c r="J137" s="175"/>
      <c r="K137" s="175"/>
      <c r="L137" s="175">
        <f t="shared" si="40"/>
        <v>0</v>
      </c>
      <c r="M137" s="176"/>
      <c r="N137" s="176"/>
      <c r="O137" s="176"/>
      <c r="P137" s="176"/>
      <c r="Q137" s="176"/>
      <c r="R137" s="176"/>
      <c r="S137" s="176">
        <f t="shared" si="41"/>
        <v>0</v>
      </c>
      <c r="T137" s="177">
        <v>78</v>
      </c>
      <c r="U137" s="177">
        <v>5</v>
      </c>
      <c r="V137" s="178">
        <v>0</v>
      </c>
      <c r="W137" s="178">
        <v>0</v>
      </c>
      <c r="X137" s="178">
        <v>0</v>
      </c>
      <c r="Y137" s="179">
        <v>0</v>
      </c>
      <c r="Z137" s="178">
        <v>0</v>
      </c>
      <c r="AA137" s="136">
        <f t="shared" si="42"/>
        <v>83</v>
      </c>
      <c r="AB137" s="180">
        <v>0</v>
      </c>
      <c r="AC137" s="180">
        <v>0</v>
      </c>
      <c r="AD137" s="180">
        <v>0</v>
      </c>
      <c r="AE137" s="180">
        <v>0</v>
      </c>
      <c r="AF137" s="181">
        <v>0</v>
      </c>
      <c r="AG137" s="180">
        <v>0</v>
      </c>
      <c r="AH137" s="139">
        <f t="shared" si="43"/>
        <v>0</v>
      </c>
      <c r="AI137" s="144" t="s">
        <v>548</v>
      </c>
      <c r="AJ137" s="141">
        <v>50</v>
      </c>
      <c r="AK137" s="141">
        <v>31.25</v>
      </c>
      <c r="AL137" s="142">
        <f t="shared" si="44"/>
        <v>81.25</v>
      </c>
      <c r="AM137" s="51">
        <f t="shared" si="45"/>
        <v>6337.5</v>
      </c>
      <c r="AN137" s="51">
        <f t="shared" si="46"/>
        <v>406.25</v>
      </c>
      <c r="AO137" s="51">
        <f t="shared" si="47"/>
        <v>0</v>
      </c>
      <c r="AP137" s="51">
        <f t="shared" si="48"/>
        <v>0</v>
      </c>
      <c r="AQ137" s="51">
        <f t="shared" si="49"/>
        <v>0</v>
      </c>
      <c r="AR137" s="51">
        <f t="shared" si="50"/>
        <v>0</v>
      </c>
      <c r="AS137" s="51">
        <f t="shared" si="51"/>
        <v>0</v>
      </c>
      <c r="AT137" s="51">
        <f t="shared" si="59"/>
        <v>6743.75</v>
      </c>
      <c r="AU137" s="54">
        <f t="shared" si="52"/>
        <v>0</v>
      </c>
      <c r="AV137" s="54">
        <f t="shared" si="53"/>
        <v>0</v>
      </c>
      <c r="AW137" s="54">
        <f t="shared" si="54"/>
        <v>0</v>
      </c>
      <c r="AX137" s="54">
        <f t="shared" si="55"/>
        <v>0</v>
      </c>
      <c r="AY137" s="54">
        <f t="shared" si="56"/>
        <v>0</v>
      </c>
      <c r="AZ137" s="54">
        <f t="shared" si="57"/>
        <v>0</v>
      </c>
      <c r="BA137" s="54">
        <f t="shared" si="58"/>
        <v>0</v>
      </c>
      <c r="BB137" s="128"/>
    </row>
    <row r="138" spans="1:54">
      <c r="A138" s="170">
        <v>122</v>
      </c>
      <c r="B138" s="171" t="s">
        <v>677</v>
      </c>
      <c r="C138" s="172"/>
      <c r="D138" s="173"/>
      <c r="E138" s="174"/>
      <c r="F138" s="175"/>
      <c r="G138" s="175"/>
      <c r="H138" s="175"/>
      <c r="I138" s="175"/>
      <c r="J138" s="175"/>
      <c r="K138" s="175"/>
      <c r="L138" s="175">
        <f t="shared" si="40"/>
        <v>0</v>
      </c>
      <c r="M138" s="176"/>
      <c r="N138" s="176"/>
      <c r="O138" s="176"/>
      <c r="P138" s="176"/>
      <c r="Q138" s="176"/>
      <c r="R138" s="176"/>
      <c r="S138" s="176">
        <f t="shared" si="41"/>
        <v>0</v>
      </c>
      <c r="T138" s="177">
        <v>0</v>
      </c>
      <c r="U138" s="177">
        <v>0</v>
      </c>
      <c r="V138" s="178">
        <v>0</v>
      </c>
      <c r="W138" s="178">
        <v>0</v>
      </c>
      <c r="X138" s="178">
        <v>0</v>
      </c>
      <c r="Y138" s="179">
        <v>0</v>
      </c>
      <c r="Z138" s="178">
        <v>1</v>
      </c>
      <c r="AA138" s="136">
        <f t="shared" si="42"/>
        <v>1</v>
      </c>
      <c r="AB138" s="180">
        <v>0</v>
      </c>
      <c r="AC138" s="180">
        <v>0</v>
      </c>
      <c r="AD138" s="180">
        <v>0</v>
      </c>
      <c r="AE138" s="180">
        <v>0</v>
      </c>
      <c r="AF138" s="181">
        <v>0</v>
      </c>
      <c r="AG138" s="180">
        <v>1</v>
      </c>
      <c r="AH138" s="139">
        <f t="shared" si="43"/>
        <v>1</v>
      </c>
      <c r="AI138" s="144" t="s">
        <v>678</v>
      </c>
      <c r="AJ138" s="141">
        <v>37500</v>
      </c>
      <c r="AK138" s="141">
        <v>0</v>
      </c>
      <c r="AL138" s="142">
        <f t="shared" si="44"/>
        <v>37500</v>
      </c>
      <c r="AM138" s="51">
        <f t="shared" si="45"/>
        <v>0</v>
      </c>
      <c r="AN138" s="51">
        <f t="shared" si="46"/>
        <v>0</v>
      </c>
      <c r="AO138" s="51">
        <f t="shared" si="47"/>
        <v>0</v>
      </c>
      <c r="AP138" s="51">
        <f t="shared" si="48"/>
        <v>0</v>
      </c>
      <c r="AQ138" s="51">
        <f t="shared" si="49"/>
        <v>0</v>
      </c>
      <c r="AR138" s="51">
        <f t="shared" si="50"/>
        <v>0</v>
      </c>
      <c r="AS138" s="51">
        <f t="shared" si="51"/>
        <v>37500</v>
      </c>
      <c r="AT138" s="51">
        <f t="shared" si="59"/>
        <v>37500</v>
      </c>
      <c r="AU138" s="54">
        <f t="shared" si="52"/>
        <v>0</v>
      </c>
      <c r="AV138" s="54">
        <f t="shared" si="53"/>
        <v>0</v>
      </c>
      <c r="AW138" s="54">
        <f t="shared" si="54"/>
        <v>0</v>
      </c>
      <c r="AX138" s="54">
        <f t="shared" si="55"/>
        <v>0</v>
      </c>
      <c r="AY138" s="54">
        <f t="shared" si="56"/>
        <v>0</v>
      </c>
      <c r="AZ138" s="54">
        <f t="shared" si="57"/>
        <v>37500</v>
      </c>
      <c r="BA138" s="54">
        <f t="shared" si="58"/>
        <v>37500</v>
      </c>
      <c r="BB138" s="128"/>
    </row>
    <row r="139" spans="1:54">
      <c r="A139" s="170">
        <v>123</v>
      </c>
      <c r="B139" s="171" t="s">
        <v>679</v>
      </c>
      <c r="C139" s="172"/>
      <c r="D139" s="173"/>
      <c r="E139" s="174"/>
      <c r="F139" s="175"/>
      <c r="G139" s="175"/>
      <c r="H139" s="175"/>
      <c r="I139" s="175"/>
      <c r="J139" s="175"/>
      <c r="K139" s="175"/>
      <c r="L139" s="175">
        <f t="shared" si="40"/>
        <v>0</v>
      </c>
      <c r="M139" s="176"/>
      <c r="N139" s="176"/>
      <c r="O139" s="176"/>
      <c r="P139" s="176"/>
      <c r="Q139" s="176"/>
      <c r="R139" s="176"/>
      <c r="S139" s="176">
        <f t="shared" si="41"/>
        <v>0</v>
      </c>
      <c r="T139" s="177">
        <v>0</v>
      </c>
      <c r="U139" s="177">
        <v>0</v>
      </c>
      <c r="V139" s="178">
        <v>0</v>
      </c>
      <c r="W139" s="178">
        <v>0</v>
      </c>
      <c r="X139" s="178">
        <v>0</v>
      </c>
      <c r="Y139" s="179">
        <v>0</v>
      </c>
      <c r="Z139" s="178">
        <v>0</v>
      </c>
      <c r="AA139" s="136">
        <f t="shared" si="42"/>
        <v>0</v>
      </c>
      <c r="AB139" s="180">
        <v>0</v>
      </c>
      <c r="AC139" s="180">
        <v>0</v>
      </c>
      <c r="AD139" s="180">
        <v>0</v>
      </c>
      <c r="AE139" s="180">
        <v>0</v>
      </c>
      <c r="AF139" s="181">
        <v>0</v>
      </c>
      <c r="AG139" s="180">
        <v>1</v>
      </c>
      <c r="AH139" s="139">
        <f t="shared" si="43"/>
        <v>1</v>
      </c>
      <c r="AI139" s="144" t="s">
        <v>678</v>
      </c>
      <c r="AJ139" s="141">
        <v>87500</v>
      </c>
      <c r="AK139" s="141">
        <v>0</v>
      </c>
      <c r="AL139" s="142">
        <f t="shared" si="44"/>
        <v>87500</v>
      </c>
      <c r="AM139" s="51">
        <f t="shared" si="45"/>
        <v>0</v>
      </c>
      <c r="AN139" s="51">
        <f t="shared" si="46"/>
        <v>0</v>
      </c>
      <c r="AO139" s="51">
        <f t="shared" si="47"/>
        <v>0</v>
      </c>
      <c r="AP139" s="51">
        <f t="shared" si="48"/>
        <v>0</v>
      </c>
      <c r="AQ139" s="51">
        <f t="shared" si="49"/>
        <v>0</v>
      </c>
      <c r="AR139" s="51">
        <f t="shared" si="50"/>
        <v>0</v>
      </c>
      <c r="AS139" s="51">
        <f t="shared" si="51"/>
        <v>0</v>
      </c>
      <c r="AT139" s="51">
        <f t="shared" si="59"/>
        <v>0</v>
      </c>
      <c r="AU139" s="54">
        <f t="shared" si="52"/>
        <v>0</v>
      </c>
      <c r="AV139" s="54">
        <f t="shared" si="53"/>
        <v>0</v>
      </c>
      <c r="AW139" s="54">
        <f t="shared" si="54"/>
        <v>0</v>
      </c>
      <c r="AX139" s="54">
        <f t="shared" si="55"/>
        <v>0</v>
      </c>
      <c r="AY139" s="54">
        <f t="shared" si="56"/>
        <v>0</v>
      </c>
      <c r="AZ139" s="54">
        <f t="shared" si="57"/>
        <v>87500</v>
      </c>
      <c r="BA139" s="54">
        <f t="shared" si="58"/>
        <v>87500</v>
      </c>
      <c r="BB139" s="128"/>
    </row>
    <row r="140" spans="1:54">
      <c r="A140" s="170">
        <v>124</v>
      </c>
      <c r="B140" s="171" t="s">
        <v>680</v>
      </c>
      <c r="C140" s="172"/>
      <c r="D140" s="173"/>
      <c r="E140" s="174"/>
      <c r="F140" s="175"/>
      <c r="G140" s="175"/>
      <c r="H140" s="175"/>
      <c r="I140" s="175"/>
      <c r="J140" s="175"/>
      <c r="K140" s="175"/>
      <c r="L140" s="175">
        <f t="shared" si="40"/>
        <v>0</v>
      </c>
      <c r="M140" s="176"/>
      <c r="N140" s="176"/>
      <c r="O140" s="176"/>
      <c r="P140" s="176"/>
      <c r="Q140" s="176"/>
      <c r="R140" s="176"/>
      <c r="S140" s="176">
        <f t="shared" si="41"/>
        <v>0</v>
      </c>
      <c r="T140" s="177">
        <v>0</v>
      </c>
      <c r="U140" s="177">
        <v>0</v>
      </c>
      <c r="V140" s="178">
        <v>0</v>
      </c>
      <c r="W140" s="178">
        <v>0</v>
      </c>
      <c r="X140" s="178">
        <v>0</v>
      </c>
      <c r="Y140" s="179">
        <v>0</v>
      </c>
      <c r="Z140" s="178">
        <v>2241</v>
      </c>
      <c r="AA140" s="136">
        <f t="shared" si="42"/>
        <v>2241</v>
      </c>
      <c r="AB140" s="180">
        <v>0</v>
      </c>
      <c r="AC140" s="180">
        <v>0</v>
      </c>
      <c r="AD140" s="180">
        <v>0</v>
      </c>
      <c r="AE140" s="180">
        <v>0</v>
      </c>
      <c r="AF140" s="181">
        <v>0</v>
      </c>
      <c r="AG140" s="181">
        <v>254</v>
      </c>
      <c r="AH140" s="139">
        <f t="shared" si="43"/>
        <v>254</v>
      </c>
      <c r="AI140" s="144" t="s">
        <v>639</v>
      </c>
      <c r="AJ140" s="141">
        <v>187.5</v>
      </c>
      <c r="AK140" s="141">
        <v>0</v>
      </c>
      <c r="AL140" s="142">
        <f t="shared" si="44"/>
        <v>187.5</v>
      </c>
      <c r="AM140" s="51">
        <f t="shared" si="45"/>
        <v>0</v>
      </c>
      <c r="AN140" s="51">
        <f t="shared" si="46"/>
        <v>0</v>
      </c>
      <c r="AO140" s="51">
        <f t="shared" si="47"/>
        <v>0</v>
      </c>
      <c r="AP140" s="51">
        <f t="shared" si="48"/>
        <v>0</v>
      </c>
      <c r="AQ140" s="51">
        <f t="shared" si="49"/>
        <v>0</v>
      </c>
      <c r="AR140" s="51">
        <f t="shared" si="50"/>
        <v>0</v>
      </c>
      <c r="AS140" s="51">
        <f t="shared" si="51"/>
        <v>420187.5</v>
      </c>
      <c r="AT140" s="51">
        <f t="shared" si="59"/>
        <v>420187.5</v>
      </c>
      <c r="AU140" s="54">
        <f t="shared" si="52"/>
        <v>0</v>
      </c>
      <c r="AV140" s="54">
        <f t="shared" si="53"/>
        <v>0</v>
      </c>
      <c r="AW140" s="54">
        <f t="shared" si="54"/>
        <v>0</v>
      </c>
      <c r="AX140" s="54">
        <f t="shared" si="55"/>
        <v>0</v>
      </c>
      <c r="AY140" s="54">
        <f t="shared" si="56"/>
        <v>0</v>
      </c>
      <c r="AZ140" s="54">
        <f t="shared" si="57"/>
        <v>47625</v>
      </c>
      <c r="BA140" s="54">
        <f t="shared" si="58"/>
        <v>47625</v>
      </c>
      <c r="BB140" s="128"/>
    </row>
    <row r="141" spans="1:54">
      <c r="A141" s="170">
        <v>124</v>
      </c>
      <c r="B141" s="171" t="s">
        <v>681</v>
      </c>
      <c r="C141" s="172"/>
      <c r="D141" s="173"/>
      <c r="E141" s="174"/>
      <c r="F141" s="175"/>
      <c r="G141" s="175"/>
      <c r="H141" s="175"/>
      <c r="I141" s="175"/>
      <c r="J141" s="175"/>
      <c r="K141" s="175"/>
      <c r="L141" s="175">
        <f t="shared" si="40"/>
        <v>0</v>
      </c>
      <c r="M141" s="176"/>
      <c r="N141" s="176"/>
      <c r="O141" s="176"/>
      <c r="P141" s="176"/>
      <c r="Q141" s="176"/>
      <c r="R141" s="176"/>
      <c r="S141" s="176">
        <f t="shared" si="41"/>
        <v>0</v>
      </c>
      <c r="T141" s="177">
        <v>0</v>
      </c>
      <c r="U141" s="177">
        <v>0</v>
      </c>
      <c r="V141" s="178">
        <v>0</v>
      </c>
      <c r="W141" s="178">
        <v>0</v>
      </c>
      <c r="X141" s="178">
        <v>0</v>
      </c>
      <c r="Y141" s="179">
        <v>0</v>
      </c>
      <c r="Z141" s="178">
        <v>2</v>
      </c>
      <c r="AA141" s="136">
        <f t="shared" si="42"/>
        <v>2</v>
      </c>
      <c r="AB141" s="180">
        <v>0</v>
      </c>
      <c r="AC141" s="180">
        <v>0</v>
      </c>
      <c r="AD141" s="180">
        <v>0</v>
      </c>
      <c r="AE141" s="180">
        <v>0</v>
      </c>
      <c r="AF141" s="181">
        <v>0</v>
      </c>
      <c r="AG141" s="181">
        <v>1</v>
      </c>
      <c r="AH141" s="139">
        <f t="shared" si="43"/>
        <v>1</v>
      </c>
      <c r="AI141" s="144" t="s">
        <v>678</v>
      </c>
      <c r="AJ141" s="141">
        <v>24000</v>
      </c>
      <c r="AK141" s="141">
        <v>36000</v>
      </c>
      <c r="AL141" s="142">
        <f t="shared" si="44"/>
        <v>60000</v>
      </c>
      <c r="AM141" s="51">
        <f t="shared" si="45"/>
        <v>0</v>
      </c>
      <c r="AN141" s="51">
        <f t="shared" si="46"/>
        <v>0</v>
      </c>
      <c r="AO141" s="51">
        <f t="shared" si="47"/>
        <v>0</v>
      </c>
      <c r="AP141" s="51">
        <f t="shared" si="48"/>
        <v>0</v>
      </c>
      <c r="AQ141" s="51">
        <f t="shared" si="49"/>
        <v>0</v>
      </c>
      <c r="AR141" s="51">
        <f t="shared" si="50"/>
        <v>0</v>
      </c>
      <c r="AS141" s="51">
        <f t="shared" si="51"/>
        <v>120000</v>
      </c>
      <c r="AT141" s="51">
        <f t="shared" si="59"/>
        <v>120000</v>
      </c>
      <c r="AU141" s="54">
        <f t="shared" si="52"/>
        <v>0</v>
      </c>
      <c r="AV141" s="54">
        <f t="shared" si="53"/>
        <v>0</v>
      </c>
      <c r="AW141" s="54">
        <f t="shared" si="54"/>
        <v>0</v>
      </c>
      <c r="AX141" s="54">
        <f t="shared" si="55"/>
        <v>0</v>
      </c>
      <c r="AY141" s="54">
        <f t="shared" si="56"/>
        <v>0</v>
      </c>
      <c r="AZ141" s="54">
        <f t="shared" si="57"/>
        <v>60000</v>
      </c>
      <c r="BA141" s="54">
        <f t="shared" si="58"/>
        <v>60000</v>
      </c>
      <c r="BB141" s="128"/>
    </row>
    <row r="142" spans="1:54">
      <c r="A142" s="170">
        <v>124</v>
      </c>
      <c r="B142" s="171" t="s">
        <v>682</v>
      </c>
      <c r="C142" s="172"/>
      <c r="D142" s="173"/>
      <c r="E142" s="174"/>
      <c r="F142" s="175"/>
      <c r="G142" s="175"/>
      <c r="H142" s="175"/>
      <c r="I142" s="175"/>
      <c r="J142" s="175"/>
      <c r="K142" s="175"/>
      <c r="L142" s="175">
        <f t="shared" si="40"/>
        <v>0</v>
      </c>
      <c r="M142" s="176"/>
      <c r="N142" s="176"/>
      <c r="O142" s="176"/>
      <c r="P142" s="176"/>
      <c r="Q142" s="176"/>
      <c r="R142" s="176"/>
      <c r="S142" s="176">
        <f t="shared" si="41"/>
        <v>0</v>
      </c>
      <c r="T142" s="177">
        <v>0</v>
      </c>
      <c r="U142" s="177">
        <v>0</v>
      </c>
      <c r="V142" s="178">
        <v>0</v>
      </c>
      <c r="W142" s="178">
        <v>0</v>
      </c>
      <c r="X142" s="178">
        <v>0</v>
      </c>
      <c r="Y142" s="179">
        <v>0</v>
      </c>
      <c r="Z142" s="178">
        <v>2</v>
      </c>
      <c r="AA142" s="136">
        <f t="shared" si="42"/>
        <v>2</v>
      </c>
      <c r="AB142" s="180">
        <v>0</v>
      </c>
      <c r="AC142" s="180">
        <v>0</v>
      </c>
      <c r="AD142" s="180">
        <v>0</v>
      </c>
      <c r="AE142" s="180">
        <v>0</v>
      </c>
      <c r="AF142" s="181">
        <v>0</v>
      </c>
      <c r="AG142" s="181">
        <v>1</v>
      </c>
      <c r="AH142" s="139">
        <f t="shared" si="43"/>
        <v>1</v>
      </c>
      <c r="AI142" s="144" t="s">
        <v>541</v>
      </c>
      <c r="AJ142" s="141">
        <v>625</v>
      </c>
      <c r="AK142" s="141">
        <v>3750</v>
      </c>
      <c r="AL142" s="142">
        <f t="shared" si="44"/>
        <v>4375</v>
      </c>
      <c r="AM142" s="51">
        <f t="shared" si="45"/>
        <v>0</v>
      </c>
      <c r="AN142" s="51">
        <f t="shared" si="46"/>
        <v>0</v>
      </c>
      <c r="AO142" s="51">
        <f t="shared" si="47"/>
        <v>0</v>
      </c>
      <c r="AP142" s="51">
        <f t="shared" si="48"/>
        <v>0</v>
      </c>
      <c r="AQ142" s="51">
        <f t="shared" si="49"/>
        <v>0</v>
      </c>
      <c r="AR142" s="51">
        <f t="shared" si="50"/>
        <v>0</v>
      </c>
      <c r="AS142" s="51">
        <f t="shared" si="51"/>
        <v>8750</v>
      </c>
      <c r="AT142" s="51">
        <f t="shared" si="59"/>
        <v>8750</v>
      </c>
      <c r="AU142" s="54">
        <f t="shared" si="52"/>
        <v>0</v>
      </c>
      <c r="AV142" s="54">
        <f t="shared" si="53"/>
        <v>0</v>
      </c>
      <c r="AW142" s="54">
        <f t="shared" si="54"/>
        <v>0</v>
      </c>
      <c r="AX142" s="54">
        <f t="shared" si="55"/>
        <v>0</v>
      </c>
      <c r="AY142" s="54">
        <f t="shared" si="56"/>
        <v>0</v>
      </c>
      <c r="AZ142" s="54">
        <f t="shared" si="57"/>
        <v>4375</v>
      </c>
      <c r="BA142" s="54">
        <f t="shared" si="58"/>
        <v>4375</v>
      </c>
      <c r="BB142" s="128"/>
    </row>
    <row r="143" spans="1:54">
      <c r="A143" s="170">
        <v>124</v>
      </c>
      <c r="B143" s="171" t="s">
        <v>683</v>
      </c>
      <c r="C143" s="172"/>
      <c r="D143" s="173"/>
      <c r="E143" s="174"/>
      <c r="F143" s="175"/>
      <c r="G143" s="175"/>
      <c r="H143" s="175"/>
      <c r="I143" s="175"/>
      <c r="J143" s="175"/>
      <c r="K143" s="175"/>
      <c r="L143" s="175">
        <f t="shared" si="40"/>
        <v>0</v>
      </c>
      <c r="M143" s="176"/>
      <c r="N143" s="176"/>
      <c r="O143" s="176"/>
      <c r="P143" s="176"/>
      <c r="Q143" s="176"/>
      <c r="R143" s="176"/>
      <c r="S143" s="176">
        <f t="shared" si="41"/>
        <v>0</v>
      </c>
      <c r="T143" s="177">
        <v>0</v>
      </c>
      <c r="U143" s="177">
        <v>0</v>
      </c>
      <c r="V143" s="178">
        <v>0</v>
      </c>
      <c r="W143" s="178">
        <v>0</v>
      </c>
      <c r="X143" s="178">
        <v>0</v>
      </c>
      <c r="Y143" s="179">
        <v>0</v>
      </c>
      <c r="Z143" s="178">
        <v>0</v>
      </c>
      <c r="AA143" s="136">
        <f t="shared" si="42"/>
        <v>0</v>
      </c>
      <c r="AB143" s="180">
        <v>0</v>
      </c>
      <c r="AC143" s="180">
        <v>0</v>
      </c>
      <c r="AD143" s="180">
        <v>0</v>
      </c>
      <c r="AE143" s="180">
        <v>0</v>
      </c>
      <c r="AF143" s="181">
        <v>0</v>
      </c>
      <c r="AG143" s="181">
        <v>4</v>
      </c>
      <c r="AH143" s="139">
        <f t="shared" si="43"/>
        <v>4</v>
      </c>
      <c r="AI143" s="144" t="s">
        <v>541</v>
      </c>
      <c r="AJ143" s="141">
        <v>3125</v>
      </c>
      <c r="AK143" s="141">
        <v>22500</v>
      </c>
      <c r="AL143" s="142">
        <f t="shared" si="44"/>
        <v>25625</v>
      </c>
      <c r="AM143" s="51">
        <f t="shared" si="45"/>
        <v>0</v>
      </c>
      <c r="AN143" s="51">
        <f t="shared" si="46"/>
        <v>0</v>
      </c>
      <c r="AO143" s="51">
        <f t="shared" si="47"/>
        <v>0</v>
      </c>
      <c r="AP143" s="51">
        <f t="shared" si="48"/>
        <v>0</v>
      </c>
      <c r="AQ143" s="51">
        <f t="shared" si="49"/>
        <v>0</v>
      </c>
      <c r="AR143" s="51">
        <f t="shared" si="50"/>
        <v>0</v>
      </c>
      <c r="AS143" s="51">
        <f t="shared" si="51"/>
        <v>0</v>
      </c>
      <c r="AT143" s="51">
        <f t="shared" si="59"/>
        <v>0</v>
      </c>
      <c r="AU143" s="54">
        <f t="shared" si="52"/>
        <v>0</v>
      </c>
      <c r="AV143" s="54">
        <f t="shared" si="53"/>
        <v>0</v>
      </c>
      <c r="AW143" s="54">
        <f t="shared" si="54"/>
        <v>0</v>
      </c>
      <c r="AX143" s="54">
        <f t="shared" si="55"/>
        <v>0</v>
      </c>
      <c r="AY143" s="54">
        <f t="shared" si="56"/>
        <v>0</v>
      </c>
      <c r="AZ143" s="54">
        <f t="shared" si="57"/>
        <v>102500</v>
      </c>
      <c r="BA143" s="54">
        <f t="shared" si="58"/>
        <v>102500</v>
      </c>
      <c r="BB143" s="128"/>
    </row>
    <row r="144" spans="1:54" s="199" customFormat="1" ht="38.25" customHeight="1">
      <c r="A144" s="184"/>
      <c r="B144" s="146" t="s">
        <v>588</v>
      </c>
      <c r="C144" s="185"/>
      <c r="D144" s="186"/>
      <c r="E144" s="187"/>
      <c r="F144" s="188"/>
      <c r="G144" s="188"/>
      <c r="H144" s="188"/>
      <c r="I144" s="188"/>
      <c r="J144" s="188"/>
      <c r="K144" s="188"/>
      <c r="L144" s="188"/>
      <c r="M144" s="189"/>
      <c r="N144" s="189"/>
      <c r="O144" s="189"/>
      <c r="P144" s="189"/>
      <c r="Q144" s="189"/>
      <c r="R144" s="189"/>
      <c r="S144" s="189"/>
      <c r="T144" s="190"/>
      <c r="U144" s="190"/>
      <c r="V144" s="191"/>
      <c r="W144" s="191"/>
      <c r="X144" s="191"/>
      <c r="Y144" s="192"/>
      <c r="Z144" s="191"/>
      <c r="AA144" s="193"/>
      <c r="AB144" s="194"/>
      <c r="AC144" s="194"/>
      <c r="AD144" s="194"/>
      <c r="AE144" s="194"/>
      <c r="AF144" s="195"/>
      <c r="AG144" s="194"/>
      <c r="AH144" s="196"/>
      <c r="AI144" s="197"/>
      <c r="AJ144" s="162"/>
      <c r="AK144" s="162"/>
      <c r="AL144" s="198"/>
      <c r="AM144" s="164">
        <f>SUBTOTAL(9,AM61:AM143)</f>
        <v>6337.5</v>
      </c>
      <c r="AN144" s="164">
        <f t="shared" ref="AN144:BA144" si="60">SUBTOTAL(9,AN61:AN143)</f>
        <v>510022.61037844029</v>
      </c>
      <c r="AO144" s="164">
        <f t="shared" si="60"/>
        <v>473957.73537844035</v>
      </c>
      <c r="AP144" s="164">
        <f t="shared" si="60"/>
        <v>561880.72391055047</v>
      </c>
      <c r="AQ144" s="164">
        <f t="shared" si="60"/>
        <v>502275.97505733947</v>
      </c>
      <c r="AR144" s="164">
        <f t="shared" si="60"/>
        <v>511336.11548165133</v>
      </c>
      <c r="AS144" s="164">
        <f t="shared" si="60"/>
        <v>749324.80000000005</v>
      </c>
      <c r="AT144" s="164">
        <f t="shared" si="60"/>
        <v>3315135.4602064225</v>
      </c>
      <c r="AU144" s="165">
        <f t="shared" si="60"/>
        <v>494943.54925917438</v>
      </c>
      <c r="AV144" s="165">
        <f t="shared" si="60"/>
        <v>539174.26552809635</v>
      </c>
      <c r="AW144" s="165">
        <f t="shared" si="60"/>
        <v>582857.95781995403</v>
      </c>
      <c r="AX144" s="165">
        <f t="shared" si="60"/>
        <v>528480.03058944945</v>
      </c>
      <c r="AY144" s="165">
        <f t="shared" si="60"/>
        <v>480334.01330275217</v>
      </c>
      <c r="AZ144" s="165">
        <f t="shared" si="60"/>
        <v>485185.17500000005</v>
      </c>
      <c r="BA144" s="165">
        <f t="shared" si="60"/>
        <v>3110974.9914994277</v>
      </c>
      <c r="BB144" s="166"/>
    </row>
    <row r="145" spans="1:54" ht="29.25" customHeight="1">
      <c r="A145" s="170"/>
      <c r="B145" s="108" t="s">
        <v>684</v>
      </c>
      <c r="C145" s="172"/>
      <c r="D145" s="173"/>
      <c r="E145" s="174"/>
      <c r="F145" s="175"/>
      <c r="G145" s="175"/>
      <c r="H145" s="175"/>
      <c r="I145" s="175"/>
      <c r="J145" s="175"/>
      <c r="K145" s="175"/>
      <c r="L145" s="175">
        <f t="shared" si="40"/>
        <v>0</v>
      </c>
      <c r="M145" s="176"/>
      <c r="N145" s="176"/>
      <c r="O145" s="176"/>
      <c r="P145" s="176"/>
      <c r="Q145" s="176"/>
      <c r="R145" s="176"/>
      <c r="S145" s="176">
        <f t="shared" si="41"/>
        <v>0</v>
      </c>
      <c r="T145" s="177">
        <v>0</v>
      </c>
      <c r="U145" s="177">
        <v>0</v>
      </c>
      <c r="V145" s="178">
        <v>0</v>
      </c>
      <c r="W145" s="178">
        <v>0</v>
      </c>
      <c r="X145" s="178">
        <v>0</v>
      </c>
      <c r="Y145" s="179">
        <v>0</v>
      </c>
      <c r="Z145" s="178">
        <v>0</v>
      </c>
      <c r="AA145" s="136">
        <f t="shared" si="42"/>
        <v>0</v>
      </c>
      <c r="AB145" s="180">
        <v>0</v>
      </c>
      <c r="AC145" s="180">
        <v>0</v>
      </c>
      <c r="AD145" s="180">
        <v>0</v>
      </c>
      <c r="AE145" s="180">
        <v>0</v>
      </c>
      <c r="AF145" s="181">
        <v>0</v>
      </c>
      <c r="AG145" s="180">
        <v>0</v>
      </c>
      <c r="AH145" s="139">
        <f t="shared" si="43"/>
        <v>0</v>
      </c>
      <c r="AI145" s="144"/>
      <c r="AJ145" s="141">
        <v>0</v>
      </c>
      <c r="AK145" s="141">
        <v>0</v>
      </c>
      <c r="AL145" s="142">
        <f t="shared" si="44"/>
        <v>0</v>
      </c>
      <c r="AM145" s="51">
        <f t="shared" si="45"/>
        <v>0</v>
      </c>
      <c r="AN145" s="51">
        <f t="shared" si="46"/>
        <v>0</v>
      </c>
      <c r="AO145" s="51">
        <f t="shared" si="47"/>
        <v>0</v>
      </c>
      <c r="AP145" s="51">
        <f t="shared" si="48"/>
        <v>0</v>
      </c>
      <c r="AQ145" s="51">
        <f t="shared" si="49"/>
        <v>0</v>
      </c>
      <c r="AR145" s="51">
        <f t="shared" si="50"/>
        <v>0</v>
      </c>
      <c r="AS145" s="51">
        <f t="shared" si="51"/>
        <v>0</v>
      </c>
      <c r="AT145" s="51">
        <f t="shared" si="59"/>
        <v>0</v>
      </c>
      <c r="AU145" s="54">
        <f t="shared" si="52"/>
        <v>0</v>
      </c>
      <c r="AV145" s="54">
        <f t="shared" si="53"/>
        <v>0</v>
      </c>
      <c r="AW145" s="54">
        <f t="shared" si="54"/>
        <v>0</v>
      </c>
      <c r="AX145" s="54">
        <f t="shared" si="55"/>
        <v>0</v>
      </c>
      <c r="AY145" s="54">
        <f t="shared" si="56"/>
        <v>0</v>
      </c>
      <c r="AZ145" s="54">
        <f t="shared" si="57"/>
        <v>0</v>
      </c>
      <c r="BA145" s="54">
        <f t="shared" si="58"/>
        <v>0</v>
      </c>
      <c r="BB145" s="128"/>
    </row>
    <row r="146" spans="1:54">
      <c r="A146" s="170">
        <v>125</v>
      </c>
      <c r="B146" s="171" t="s">
        <v>685</v>
      </c>
      <c r="C146" s="172"/>
      <c r="D146" s="173"/>
      <c r="E146" s="174"/>
      <c r="F146" s="175"/>
      <c r="G146" s="175"/>
      <c r="H146" s="175"/>
      <c r="I146" s="175"/>
      <c r="J146" s="175"/>
      <c r="K146" s="175"/>
      <c r="L146" s="175">
        <f t="shared" si="40"/>
        <v>0</v>
      </c>
      <c r="M146" s="176"/>
      <c r="N146" s="176"/>
      <c r="O146" s="176"/>
      <c r="P146" s="176"/>
      <c r="Q146" s="176"/>
      <c r="R146" s="176"/>
      <c r="S146" s="176">
        <f t="shared" si="41"/>
        <v>0</v>
      </c>
      <c r="T146" s="177">
        <v>0</v>
      </c>
      <c r="U146" s="177">
        <v>0</v>
      </c>
      <c r="V146" s="178">
        <v>0</v>
      </c>
      <c r="W146" s="178">
        <v>0</v>
      </c>
      <c r="X146" s="178">
        <v>0</v>
      </c>
      <c r="Y146" s="179">
        <v>0</v>
      </c>
      <c r="Z146" s="178">
        <v>0</v>
      </c>
      <c r="AA146" s="136">
        <v>7</v>
      </c>
      <c r="AB146" s="180">
        <v>0</v>
      </c>
      <c r="AC146" s="180">
        <v>0</v>
      </c>
      <c r="AD146" s="180">
        <v>0</v>
      </c>
      <c r="AE146" s="180">
        <v>0</v>
      </c>
      <c r="AF146" s="181">
        <v>0</v>
      </c>
      <c r="AG146" s="180">
        <v>0</v>
      </c>
      <c r="AH146" s="139">
        <v>7</v>
      </c>
      <c r="AI146" s="144" t="s">
        <v>686</v>
      </c>
      <c r="AJ146" s="141">
        <v>450</v>
      </c>
      <c r="AK146" s="141">
        <v>1536</v>
      </c>
      <c r="AL146" s="142">
        <f t="shared" si="44"/>
        <v>1986</v>
      </c>
      <c r="AM146" s="51">
        <f t="shared" si="45"/>
        <v>0</v>
      </c>
      <c r="AN146" s="51">
        <f t="shared" si="46"/>
        <v>0</v>
      </c>
      <c r="AO146" s="51">
        <f t="shared" si="47"/>
        <v>0</v>
      </c>
      <c r="AP146" s="51">
        <f t="shared" si="48"/>
        <v>0</v>
      </c>
      <c r="AQ146" s="51">
        <f t="shared" si="49"/>
        <v>0</v>
      </c>
      <c r="AR146" s="51">
        <f t="shared" si="50"/>
        <v>0</v>
      </c>
      <c r="AS146" s="51">
        <f t="shared" si="51"/>
        <v>0</v>
      </c>
      <c r="AT146" s="51">
        <f>AL146*AA146</f>
        <v>13902</v>
      </c>
      <c r="AU146" s="54">
        <f t="shared" si="52"/>
        <v>0</v>
      </c>
      <c r="AV146" s="54">
        <f t="shared" si="53"/>
        <v>0</v>
      </c>
      <c r="AW146" s="54">
        <f t="shared" si="54"/>
        <v>0</v>
      </c>
      <c r="AX146" s="54">
        <f t="shared" si="55"/>
        <v>0</v>
      </c>
      <c r="AY146" s="54">
        <f t="shared" si="56"/>
        <v>0</v>
      </c>
      <c r="AZ146" s="54">
        <f t="shared" si="57"/>
        <v>0</v>
      </c>
      <c r="BA146" s="54">
        <f>AL146*AH146</f>
        <v>13902</v>
      </c>
      <c r="BB146" s="128"/>
    </row>
    <row r="147" spans="1:54">
      <c r="A147" s="170">
        <v>126</v>
      </c>
      <c r="B147" s="171" t="s">
        <v>687</v>
      </c>
      <c r="C147" s="172"/>
      <c r="D147" s="173"/>
      <c r="E147" s="174"/>
      <c r="F147" s="175"/>
      <c r="G147" s="175"/>
      <c r="H147" s="175"/>
      <c r="I147" s="175"/>
      <c r="J147" s="175"/>
      <c r="K147" s="175"/>
      <c r="L147" s="175">
        <f t="shared" si="40"/>
        <v>0</v>
      </c>
      <c r="M147" s="176"/>
      <c r="N147" s="176"/>
      <c r="O147" s="176"/>
      <c r="P147" s="176"/>
      <c r="Q147" s="176"/>
      <c r="R147" s="176"/>
      <c r="S147" s="176">
        <f t="shared" si="41"/>
        <v>0</v>
      </c>
      <c r="T147" s="177">
        <v>0</v>
      </c>
      <c r="U147" s="177">
        <v>0</v>
      </c>
      <c r="V147" s="178">
        <v>0</v>
      </c>
      <c r="W147" s="178">
        <v>0</v>
      </c>
      <c r="X147" s="178">
        <v>0</v>
      </c>
      <c r="Y147" s="179">
        <v>0</v>
      </c>
      <c r="Z147" s="178">
        <v>0</v>
      </c>
      <c r="AA147" s="136">
        <v>2</v>
      </c>
      <c r="AB147" s="180">
        <v>0</v>
      </c>
      <c r="AC147" s="180">
        <v>0</v>
      </c>
      <c r="AD147" s="180">
        <v>0</v>
      </c>
      <c r="AE147" s="180">
        <v>0</v>
      </c>
      <c r="AF147" s="181">
        <v>0</v>
      </c>
      <c r="AG147" s="180">
        <v>0</v>
      </c>
      <c r="AH147" s="139">
        <v>2</v>
      </c>
      <c r="AI147" s="144" t="s">
        <v>686</v>
      </c>
      <c r="AJ147" s="141">
        <v>562.5</v>
      </c>
      <c r="AK147" s="141">
        <v>4560</v>
      </c>
      <c r="AL147" s="142">
        <f t="shared" si="44"/>
        <v>5122.5</v>
      </c>
      <c r="AM147" s="51">
        <f t="shared" si="45"/>
        <v>0</v>
      </c>
      <c r="AN147" s="51">
        <f t="shared" si="46"/>
        <v>0</v>
      </c>
      <c r="AO147" s="51">
        <f t="shared" si="47"/>
        <v>0</v>
      </c>
      <c r="AP147" s="51">
        <f t="shared" si="48"/>
        <v>0</v>
      </c>
      <c r="AQ147" s="51">
        <f t="shared" si="49"/>
        <v>0</v>
      </c>
      <c r="AR147" s="51">
        <f t="shared" si="50"/>
        <v>0</v>
      </c>
      <c r="AS147" s="51">
        <f t="shared" si="51"/>
        <v>0</v>
      </c>
      <c r="AT147" s="51">
        <f t="shared" ref="AT147:AT153" si="61">AL147*AA147</f>
        <v>10245</v>
      </c>
      <c r="AU147" s="54">
        <f t="shared" si="52"/>
        <v>0</v>
      </c>
      <c r="AV147" s="54">
        <f t="shared" si="53"/>
        <v>0</v>
      </c>
      <c r="AW147" s="54">
        <f t="shared" si="54"/>
        <v>0</v>
      </c>
      <c r="AX147" s="54">
        <f t="shared" si="55"/>
        <v>0</v>
      </c>
      <c r="AY147" s="54">
        <f t="shared" si="56"/>
        <v>0</v>
      </c>
      <c r="AZ147" s="54">
        <f t="shared" si="57"/>
        <v>0</v>
      </c>
      <c r="BA147" s="54">
        <f t="shared" ref="BA147:BA149" si="62">AL147*AH147</f>
        <v>10245</v>
      </c>
      <c r="BB147" s="128"/>
    </row>
    <row r="148" spans="1:54">
      <c r="A148" s="170">
        <v>127</v>
      </c>
      <c r="B148" s="171" t="s">
        <v>688</v>
      </c>
      <c r="C148" s="172"/>
      <c r="D148" s="173"/>
      <c r="E148" s="174"/>
      <c r="F148" s="175"/>
      <c r="G148" s="175"/>
      <c r="H148" s="175"/>
      <c r="I148" s="175"/>
      <c r="J148" s="175"/>
      <c r="K148" s="175"/>
      <c r="L148" s="175">
        <f t="shared" si="40"/>
        <v>0</v>
      </c>
      <c r="M148" s="176"/>
      <c r="N148" s="176"/>
      <c r="O148" s="176"/>
      <c r="P148" s="176"/>
      <c r="Q148" s="176"/>
      <c r="R148" s="176"/>
      <c r="S148" s="176">
        <f t="shared" si="41"/>
        <v>0</v>
      </c>
      <c r="T148" s="177">
        <v>0</v>
      </c>
      <c r="U148" s="177">
        <v>0</v>
      </c>
      <c r="V148" s="178">
        <v>0</v>
      </c>
      <c r="W148" s="178">
        <v>0</v>
      </c>
      <c r="X148" s="178">
        <v>0</v>
      </c>
      <c r="Y148" s="179">
        <v>0</v>
      </c>
      <c r="Z148" s="178">
        <v>0</v>
      </c>
      <c r="AA148" s="136">
        <v>3</v>
      </c>
      <c r="AB148" s="180">
        <v>0</v>
      </c>
      <c r="AC148" s="180">
        <v>0</v>
      </c>
      <c r="AD148" s="180">
        <v>0</v>
      </c>
      <c r="AE148" s="180">
        <v>0</v>
      </c>
      <c r="AF148" s="181">
        <v>0</v>
      </c>
      <c r="AG148" s="180">
        <v>0</v>
      </c>
      <c r="AH148" s="139">
        <v>4</v>
      </c>
      <c r="AI148" s="144" t="s">
        <v>686</v>
      </c>
      <c r="AJ148" s="141">
        <v>525</v>
      </c>
      <c r="AK148" s="141">
        <v>2940</v>
      </c>
      <c r="AL148" s="142">
        <f t="shared" si="44"/>
        <v>3465</v>
      </c>
      <c r="AM148" s="51">
        <f t="shared" si="45"/>
        <v>0</v>
      </c>
      <c r="AN148" s="51">
        <f t="shared" si="46"/>
        <v>0</v>
      </c>
      <c r="AO148" s="51">
        <f t="shared" si="47"/>
        <v>0</v>
      </c>
      <c r="AP148" s="51">
        <f t="shared" si="48"/>
        <v>0</v>
      </c>
      <c r="AQ148" s="51">
        <f t="shared" si="49"/>
        <v>0</v>
      </c>
      <c r="AR148" s="51">
        <f t="shared" si="50"/>
        <v>0</v>
      </c>
      <c r="AS148" s="51">
        <f t="shared" si="51"/>
        <v>0</v>
      </c>
      <c r="AT148" s="51">
        <f t="shared" si="61"/>
        <v>10395</v>
      </c>
      <c r="AU148" s="54">
        <f t="shared" si="52"/>
        <v>0</v>
      </c>
      <c r="AV148" s="54">
        <f t="shared" si="53"/>
        <v>0</v>
      </c>
      <c r="AW148" s="54">
        <f t="shared" si="54"/>
        <v>0</v>
      </c>
      <c r="AX148" s="54">
        <f t="shared" si="55"/>
        <v>0</v>
      </c>
      <c r="AY148" s="54">
        <f t="shared" si="56"/>
        <v>0</v>
      </c>
      <c r="AZ148" s="54">
        <f t="shared" si="57"/>
        <v>0</v>
      </c>
      <c r="BA148" s="54">
        <f t="shared" si="62"/>
        <v>13860</v>
      </c>
      <c r="BB148" s="128"/>
    </row>
    <row r="149" spans="1:54">
      <c r="A149" s="170"/>
      <c r="B149" s="171" t="s">
        <v>689</v>
      </c>
      <c r="C149" s="172"/>
      <c r="D149" s="173"/>
      <c r="E149" s="174"/>
      <c r="F149" s="175"/>
      <c r="G149" s="175"/>
      <c r="H149" s="175"/>
      <c r="I149" s="175"/>
      <c r="J149" s="175"/>
      <c r="K149" s="175"/>
      <c r="L149" s="175">
        <f t="shared" si="40"/>
        <v>0</v>
      </c>
      <c r="M149" s="176"/>
      <c r="N149" s="176"/>
      <c r="O149" s="176"/>
      <c r="P149" s="176"/>
      <c r="Q149" s="176"/>
      <c r="R149" s="176"/>
      <c r="S149" s="176">
        <f t="shared" si="41"/>
        <v>0</v>
      </c>
      <c r="T149" s="177">
        <v>0</v>
      </c>
      <c r="U149" s="177">
        <v>0</v>
      </c>
      <c r="V149" s="178">
        <v>0</v>
      </c>
      <c r="W149" s="178">
        <v>0</v>
      </c>
      <c r="X149" s="178">
        <v>0</v>
      </c>
      <c r="Y149" s="179">
        <v>0</v>
      </c>
      <c r="Z149" s="178">
        <v>0</v>
      </c>
      <c r="AA149" s="136">
        <v>1</v>
      </c>
      <c r="AB149" s="180"/>
      <c r="AC149" s="180"/>
      <c r="AD149" s="180"/>
      <c r="AE149" s="180"/>
      <c r="AF149" s="181"/>
      <c r="AG149" s="180"/>
      <c r="AH149" s="139">
        <f t="shared" si="43"/>
        <v>0</v>
      </c>
      <c r="AI149" s="144" t="s">
        <v>686</v>
      </c>
      <c r="AJ149" s="141">
        <v>3750</v>
      </c>
      <c r="AK149" s="141">
        <v>36000</v>
      </c>
      <c r="AL149" s="142">
        <f t="shared" si="44"/>
        <v>39750</v>
      </c>
      <c r="AM149" s="51">
        <f t="shared" si="45"/>
        <v>0</v>
      </c>
      <c r="AN149" s="51">
        <f t="shared" si="46"/>
        <v>0</v>
      </c>
      <c r="AO149" s="51">
        <f t="shared" si="47"/>
        <v>0</v>
      </c>
      <c r="AP149" s="51">
        <f t="shared" si="48"/>
        <v>0</v>
      </c>
      <c r="AQ149" s="51">
        <f t="shared" si="49"/>
        <v>0</v>
      </c>
      <c r="AR149" s="51">
        <f t="shared" si="50"/>
        <v>0</v>
      </c>
      <c r="AS149" s="51">
        <f t="shared" si="51"/>
        <v>0</v>
      </c>
      <c r="AT149" s="51">
        <f t="shared" si="61"/>
        <v>39750</v>
      </c>
      <c r="AU149" s="54">
        <f t="shared" si="52"/>
        <v>0</v>
      </c>
      <c r="AV149" s="54">
        <f t="shared" si="53"/>
        <v>0</v>
      </c>
      <c r="AW149" s="54">
        <f t="shared" si="54"/>
        <v>0</v>
      </c>
      <c r="AX149" s="54">
        <f t="shared" si="55"/>
        <v>0</v>
      </c>
      <c r="AY149" s="54">
        <f t="shared" si="56"/>
        <v>0</v>
      </c>
      <c r="AZ149" s="54">
        <f t="shared" si="57"/>
        <v>0</v>
      </c>
      <c r="BA149" s="54">
        <f t="shared" si="62"/>
        <v>0</v>
      </c>
      <c r="BB149" s="128"/>
    </row>
    <row r="150" spans="1:54">
      <c r="A150" s="170">
        <v>128</v>
      </c>
      <c r="B150" s="171" t="s">
        <v>690</v>
      </c>
      <c r="C150" s="172"/>
      <c r="D150" s="173"/>
      <c r="E150" s="174"/>
      <c r="F150" s="175"/>
      <c r="G150" s="175"/>
      <c r="H150" s="175"/>
      <c r="I150" s="175"/>
      <c r="J150" s="175"/>
      <c r="K150" s="175"/>
      <c r="L150" s="175">
        <f t="shared" si="40"/>
        <v>0</v>
      </c>
      <c r="M150" s="176"/>
      <c r="N150" s="176"/>
      <c r="O150" s="176"/>
      <c r="P150" s="176"/>
      <c r="Q150" s="176"/>
      <c r="R150" s="176"/>
      <c r="S150" s="176">
        <f t="shared" si="41"/>
        <v>0</v>
      </c>
      <c r="T150" s="177">
        <v>0</v>
      </c>
      <c r="U150" s="177">
        <v>0</v>
      </c>
      <c r="V150" s="178">
        <v>0</v>
      </c>
      <c r="W150" s="178">
        <v>0</v>
      </c>
      <c r="X150" s="178">
        <v>0</v>
      </c>
      <c r="Y150" s="179">
        <v>0</v>
      </c>
      <c r="Z150" s="178">
        <v>0</v>
      </c>
      <c r="AA150" s="136">
        <v>1</v>
      </c>
      <c r="AB150" s="180">
        <v>0</v>
      </c>
      <c r="AC150" s="180">
        <v>0</v>
      </c>
      <c r="AD150" s="180">
        <v>0</v>
      </c>
      <c r="AE150" s="180">
        <v>0</v>
      </c>
      <c r="AF150" s="181">
        <v>0</v>
      </c>
      <c r="AG150" s="180">
        <v>0</v>
      </c>
      <c r="AH150" s="139">
        <f t="shared" si="43"/>
        <v>0</v>
      </c>
      <c r="AI150" s="144" t="s">
        <v>686</v>
      </c>
      <c r="AJ150" s="141">
        <v>3750</v>
      </c>
      <c r="AK150" s="141">
        <v>42000</v>
      </c>
      <c r="AL150" s="142">
        <f t="shared" si="44"/>
        <v>45750</v>
      </c>
      <c r="AM150" s="51">
        <f t="shared" si="45"/>
        <v>0</v>
      </c>
      <c r="AN150" s="51">
        <f t="shared" si="46"/>
        <v>0</v>
      </c>
      <c r="AO150" s="51">
        <f t="shared" si="47"/>
        <v>0</v>
      </c>
      <c r="AP150" s="51">
        <f t="shared" si="48"/>
        <v>0</v>
      </c>
      <c r="AQ150" s="51">
        <f t="shared" si="49"/>
        <v>0</v>
      </c>
      <c r="AR150" s="51">
        <f t="shared" si="50"/>
        <v>0</v>
      </c>
      <c r="AS150" s="51">
        <f t="shared" si="51"/>
        <v>0</v>
      </c>
      <c r="AT150" s="51">
        <f t="shared" si="61"/>
        <v>45750</v>
      </c>
      <c r="AU150" s="54">
        <f t="shared" si="52"/>
        <v>0</v>
      </c>
      <c r="AV150" s="54">
        <f t="shared" si="53"/>
        <v>0</v>
      </c>
      <c r="AW150" s="54">
        <f t="shared" si="54"/>
        <v>0</v>
      </c>
      <c r="AX150" s="54">
        <f t="shared" si="55"/>
        <v>0</v>
      </c>
      <c r="AY150" s="54">
        <f t="shared" si="56"/>
        <v>0</v>
      </c>
      <c r="AZ150" s="54">
        <f t="shared" si="57"/>
        <v>0</v>
      </c>
      <c r="BA150" s="54">
        <f t="shared" si="58"/>
        <v>0</v>
      </c>
      <c r="BB150" s="128"/>
    </row>
    <row r="151" spans="1:54">
      <c r="A151" s="170">
        <v>129</v>
      </c>
      <c r="B151" s="171" t="s">
        <v>691</v>
      </c>
      <c r="C151" s="172"/>
      <c r="D151" s="173"/>
      <c r="E151" s="174"/>
      <c r="F151" s="175"/>
      <c r="G151" s="175"/>
      <c r="H151" s="175"/>
      <c r="I151" s="175"/>
      <c r="J151" s="175"/>
      <c r="K151" s="175"/>
      <c r="L151" s="175">
        <f t="shared" si="40"/>
        <v>0</v>
      </c>
      <c r="M151" s="176"/>
      <c r="N151" s="176"/>
      <c r="O151" s="176"/>
      <c r="P151" s="176"/>
      <c r="Q151" s="176"/>
      <c r="R151" s="176"/>
      <c r="S151" s="176">
        <f t="shared" si="41"/>
        <v>0</v>
      </c>
      <c r="T151" s="177">
        <v>0</v>
      </c>
      <c r="U151" s="177">
        <v>0</v>
      </c>
      <c r="V151" s="178">
        <v>0</v>
      </c>
      <c r="W151" s="178">
        <v>0</v>
      </c>
      <c r="X151" s="178">
        <v>0</v>
      </c>
      <c r="Y151" s="179">
        <v>0</v>
      </c>
      <c r="Z151" s="178">
        <v>0</v>
      </c>
      <c r="AA151" s="136">
        <v>1</v>
      </c>
      <c r="AB151" s="180">
        <v>0</v>
      </c>
      <c r="AC151" s="180">
        <v>0</v>
      </c>
      <c r="AD151" s="180">
        <v>0</v>
      </c>
      <c r="AE151" s="180">
        <v>0</v>
      </c>
      <c r="AF151" s="181">
        <v>0</v>
      </c>
      <c r="AG151" s="180">
        <v>0</v>
      </c>
      <c r="AH151" s="139">
        <f t="shared" si="43"/>
        <v>0</v>
      </c>
      <c r="AI151" s="144" t="s">
        <v>686</v>
      </c>
      <c r="AJ151" s="141">
        <v>3750</v>
      </c>
      <c r="AK151" s="141">
        <v>42000</v>
      </c>
      <c r="AL151" s="142">
        <f t="shared" si="44"/>
        <v>45750</v>
      </c>
      <c r="AM151" s="51">
        <f t="shared" si="45"/>
        <v>0</v>
      </c>
      <c r="AN151" s="51">
        <f t="shared" si="46"/>
        <v>0</v>
      </c>
      <c r="AO151" s="51">
        <f t="shared" si="47"/>
        <v>0</v>
      </c>
      <c r="AP151" s="51">
        <f t="shared" si="48"/>
        <v>0</v>
      </c>
      <c r="AQ151" s="51">
        <f t="shared" si="49"/>
        <v>0</v>
      </c>
      <c r="AR151" s="51">
        <f t="shared" si="50"/>
        <v>0</v>
      </c>
      <c r="AS151" s="51">
        <f t="shared" si="51"/>
        <v>0</v>
      </c>
      <c r="AT151" s="51">
        <f t="shared" si="61"/>
        <v>45750</v>
      </c>
      <c r="AU151" s="54">
        <f t="shared" si="52"/>
        <v>0</v>
      </c>
      <c r="AV151" s="54">
        <f t="shared" si="53"/>
        <v>0</v>
      </c>
      <c r="AW151" s="54">
        <f t="shared" si="54"/>
        <v>0</v>
      </c>
      <c r="AX151" s="54">
        <f t="shared" si="55"/>
        <v>0</v>
      </c>
      <c r="AY151" s="54">
        <f t="shared" si="56"/>
        <v>0</v>
      </c>
      <c r="AZ151" s="54">
        <f t="shared" si="57"/>
        <v>0</v>
      </c>
      <c r="BA151" s="54">
        <f t="shared" si="58"/>
        <v>0</v>
      </c>
      <c r="BB151" s="128"/>
    </row>
    <row r="152" spans="1:54">
      <c r="A152" s="170">
        <v>130</v>
      </c>
      <c r="B152" s="171" t="s">
        <v>692</v>
      </c>
      <c r="C152" s="172"/>
      <c r="D152" s="173"/>
      <c r="E152" s="174"/>
      <c r="F152" s="175"/>
      <c r="G152" s="175"/>
      <c r="H152" s="175"/>
      <c r="I152" s="175"/>
      <c r="J152" s="175"/>
      <c r="K152" s="175"/>
      <c r="L152" s="175">
        <f t="shared" si="40"/>
        <v>0</v>
      </c>
      <c r="M152" s="176"/>
      <c r="N152" s="176"/>
      <c r="O152" s="176"/>
      <c r="P152" s="176"/>
      <c r="Q152" s="176"/>
      <c r="R152" s="176"/>
      <c r="S152" s="176">
        <f t="shared" si="41"/>
        <v>0</v>
      </c>
      <c r="T152" s="177">
        <v>0</v>
      </c>
      <c r="U152" s="177">
        <v>0</v>
      </c>
      <c r="V152" s="178">
        <v>0</v>
      </c>
      <c r="W152" s="178">
        <v>0</v>
      </c>
      <c r="X152" s="178">
        <v>0</v>
      </c>
      <c r="Y152" s="179">
        <v>0</v>
      </c>
      <c r="Z152" s="178">
        <v>0</v>
      </c>
      <c r="AA152" s="136">
        <v>1</v>
      </c>
      <c r="AB152" s="180">
        <v>0</v>
      </c>
      <c r="AC152" s="180">
        <v>0</v>
      </c>
      <c r="AD152" s="180">
        <v>0</v>
      </c>
      <c r="AE152" s="180">
        <v>0</v>
      </c>
      <c r="AF152" s="181">
        <v>0</v>
      </c>
      <c r="AG152" s="180">
        <v>0</v>
      </c>
      <c r="AH152" s="139">
        <f t="shared" si="43"/>
        <v>0</v>
      </c>
      <c r="AI152" s="144" t="s">
        <v>686</v>
      </c>
      <c r="AJ152" s="141">
        <v>3750</v>
      </c>
      <c r="AK152" s="141">
        <v>42000</v>
      </c>
      <c r="AL152" s="142">
        <f t="shared" si="44"/>
        <v>45750</v>
      </c>
      <c r="AM152" s="51">
        <f t="shared" si="45"/>
        <v>0</v>
      </c>
      <c r="AN152" s="51">
        <f t="shared" si="46"/>
        <v>0</v>
      </c>
      <c r="AO152" s="51">
        <f t="shared" si="47"/>
        <v>0</v>
      </c>
      <c r="AP152" s="51">
        <f t="shared" si="48"/>
        <v>0</v>
      </c>
      <c r="AQ152" s="51">
        <f t="shared" si="49"/>
        <v>0</v>
      </c>
      <c r="AR152" s="51">
        <f t="shared" si="50"/>
        <v>0</v>
      </c>
      <c r="AS152" s="51">
        <f t="shared" si="51"/>
        <v>0</v>
      </c>
      <c r="AT152" s="51">
        <f t="shared" si="61"/>
        <v>45750</v>
      </c>
      <c r="AU152" s="54">
        <f t="shared" si="52"/>
        <v>0</v>
      </c>
      <c r="AV152" s="54">
        <f t="shared" si="53"/>
        <v>0</v>
      </c>
      <c r="AW152" s="54">
        <f t="shared" si="54"/>
        <v>0</v>
      </c>
      <c r="AX152" s="54">
        <f t="shared" si="55"/>
        <v>0</v>
      </c>
      <c r="AY152" s="54">
        <f t="shared" si="56"/>
        <v>0</v>
      </c>
      <c r="AZ152" s="54">
        <f t="shared" si="57"/>
        <v>0</v>
      </c>
      <c r="BA152" s="54">
        <f t="shared" si="58"/>
        <v>0</v>
      </c>
      <c r="BB152" s="128"/>
    </row>
    <row r="153" spans="1:54">
      <c r="A153" s="170">
        <v>131</v>
      </c>
      <c r="B153" s="171" t="s">
        <v>693</v>
      </c>
      <c r="C153" s="172"/>
      <c r="D153" s="173"/>
      <c r="E153" s="174"/>
      <c r="F153" s="175"/>
      <c r="G153" s="175"/>
      <c r="H153" s="175"/>
      <c r="I153" s="175"/>
      <c r="J153" s="175"/>
      <c r="K153" s="175"/>
      <c r="L153" s="175">
        <f t="shared" si="40"/>
        <v>0</v>
      </c>
      <c r="M153" s="176"/>
      <c r="N153" s="176"/>
      <c r="O153" s="176"/>
      <c r="P153" s="176"/>
      <c r="Q153" s="176"/>
      <c r="R153" s="176"/>
      <c r="S153" s="176">
        <f t="shared" si="41"/>
        <v>0</v>
      </c>
      <c r="T153" s="177">
        <v>0</v>
      </c>
      <c r="U153" s="177">
        <v>0</v>
      </c>
      <c r="V153" s="178">
        <v>0</v>
      </c>
      <c r="W153" s="178">
        <v>0</v>
      </c>
      <c r="X153" s="178">
        <v>0</v>
      </c>
      <c r="Y153" s="179">
        <v>0</v>
      </c>
      <c r="Z153" s="178">
        <v>0</v>
      </c>
      <c r="AA153" s="136">
        <v>1</v>
      </c>
      <c r="AB153" s="180">
        <v>0</v>
      </c>
      <c r="AC153" s="180">
        <v>0</v>
      </c>
      <c r="AD153" s="180">
        <v>0</v>
      </c>
      <c r="AE153" s="180">
        <v>0</v>
      </c>
      <c r="AF153" s="181">
        <v>0</v>
      </c>
      <c r="AG153" s="180">
        <v>0</v>
      </c>
      <c r="AH153" s="139">
        <f t="shared" si="43"/>
        <v>0</v>
      </c>
      <c r="AI153" s="144" t="s">
        <v>686</v>
      </c>
      <c r="AJ153" s="141">
        <v>3750</v>
      </c>
      <c r="AK153" s="141">
        <v>42000</v>
      </c>
      <c r="AL153" s="142">
        <f t="shared" si="44"/>
        <v>45750</v>
      </c>
      <c r="AM153" s="51">
        <f t="shared" si="45"/>
        <v>0</v>
      </c>
      <c r="AN153" s="51">
        <f t="shared" si="46"/>
        <v>0</v>
      </c>
      <c r="AO153" s="51">
        <f t="shared" si="47"/>
        <v>0</v>
      </c>
      <c r="AP153" s="51">
        <f t="shared" si="48"/>
        <v>0</v>
      </c>
      <c r="AQ153" s="51">
        <f t="shared" si="49"/>
        <v>0</v>
      </c>
      <c r="AR153" s="51">
        <f t="shared" si="50"/>
        <v>0</v>
      </c>
      <c r="AS153" s="51">
        <f t="shared" si="51"/>
        <v>0</v>
      </c>
      <c r="AT153" s="51">
        <f t="shared" si="61"/>
        <v>45750</v>
      </c>
      <c r="AU153" s="54">
        <f t="shared" si="52"/>
        <v>0</v>
      </c>
      <c r="AV153" s="54">
        <f t="shared" si="53"/>
        <v>0</v>
      </c>
      <c r="AW153" s="54">
        <f t="shared" si="54"/>
        <v>0</v>
      </c>
      <c r="AX153" s="54">
        <f t="shared" si="55"/>
        <v>0</v>
      </c>
      <c r="AY153" s="54">
        <f t="shared" si="56"/>
        <v>0</v>
      </c>
      <c r="AZ153" s="54">
        <f t="shared" si="57"/>
        <v>0</v>
      </c>
      <c r="BA153" s="54">
        <f t="shared" si="58"/>
        <v>0</v>
      </c>
      <c r="BB153" s="128"/>
    </row>
    <row r="154" spans="1:54">
      <c r="A154" s="170">
        <v>132</v>
      </c>
      <c r="B154" s="171" t="s">
        <v>694</v>
      </c>
      <c r="C154" s="172"/>
      <c r="D154" s="173"/>
      <c r="E154" s="174"/>
      <c r="F154" s="175"/>
      <c r="G154" s="175"/>
      <c r="H154" s="175"/>
      <c r="I154" s="175"/>
      <c r="J154" s="175"/>
      <c r="K154" s="175"/>
      <c r="L154" s="175">
        <f t="shared" si="40"/>
        <v>0</v>
      </c>
      <c r="M154" s="176"/>
      <c r="N154" s="176"/>
      <c r="O154" s="176"/>
      <c r="P154" s="176"/>
      <c r="Q154" s="176"/>
      <c r="R154" s="176"/>
      <c r="S154" s="176">
        <f t="shared" si="41"/>
        <v>0</v>
      </c>
      <c r="T154" s="177">
        <v>2</v>
      </c>
      <c r="U154" s="177">
        <v>0</v>
      </c>
      <c r="V154" s="178">
        <v>0</v>
      </c>
      <c r="W154" s="178">
        <v>0</v>
      </c>
      <c r="X154" s="178">
        <v>0</v>
      </c>
      <c r="Y154" s="179">
        <v>0</v>
      </c>
      <c r="Z154" s="178">
        <v>0</v>
      </c>
      <c r="AA154" s="136">
        <f t="shared" si="42"/>
        <v>2</v>
      </c>
      <c r="AB154" s="180">
        <v>0</v>
      </c>
      <c r="AC154" s="180">
        <v>0</v>
      </c>
      <c r="AD154" s="180">
        <v>0</v>
      </c>
      <c r="AE154" s="180">
        <v>0</v>
      </c>
      <c r="AF154" s="181">
        <v>0</v>
      </c>
      <c r="AG154" s="180">
        <v>0</v>
      </c>
      <c r="AH154" s="139">
        <f t="shared" si="43"/>
        <v>0</v>
      </c>
      <c r="AI154" s="144" t="s">
        <v>572</v>
      </c>
      <c r="AJ154" s="141">
        <v>187.5</v>
      </c>
      <c r="AK154" s="141">
        <v>840</v>
      </c>
      <c r="AL154" s="142">
        <f t="shared" si="44"/>
        <v>1027.5</v>
      </c>
      <c r="AM154" s="51">
        <f t="shared" si="45"/>
        <v>2055</v>
      </c>
      <c r="AN154" s="51">
        <f t="shared" si="46"/>
        <v>0</v>
      </c>
      <c r="AO154" s="51">
        <f t="shared" si="47"/>
        <v>0</v>
      </c>
      <c r="AP154" s="51">
        <f t="shared" si="48"/>
        <v>0</v>
      </c>
      <c r="AQ154" s="51">
        <f t="shared" si="49"/>
        <v>0</v>
      </c>
      <c r="AR154" s="51">
        <f t="shared" si="50"/>
        <v>0</v>
      </c>
      <c r="AS154" s="51">
        <f t="shared" si="51"/>
        <v>0</v>
      </c>
      <c r="AT154" s="51">
        <f t="shared" si="59"/>
        <v>2055</v>
      </c>
      <c r="AU154" s="54">
        <f t="shared" si="52"/>
        <v>0</v>
      </c>
      <c r="AV154" s="54">
        <f t="shared" si="53"/>
        <v>0</v>
      </c>
      <c r="AW154" s="54">
        <f t="shared" si="54"/>
        <v>0</v>
      </c>
      <c r="AX154" s="54">
        <f t="shared" si="55"/>
        <v>0</v>
      </c>
      <c r="AY154" s="54">
        <f t="shared" si="56"/>
        <v>0</v>
      </c>
      <c r="AZ154" s="54">
        <f t="shared" si="57"/>
        <v>0</v>
      </c>
      <c r="BA154" s="54">
        <f t="shared" si="58"/>
        <v>0</v>
      </c>
      <c r="BB154" s="128"/>
    </row>
    <row r="155" spans="1:54">
      <c r="A155" s="170">
        <v>133</v>
      </c>
      <c r="B155" s="171" t="s">
        <v>695</v>
      </c>
      <c r="C155" s="172"/>
      <c r="D155" s="173"/>
      <c r="E155" s="174"/>
      <c r="F155" s="175"/>
      <c r="G155" s="175"/>
      <c r="H155" s="175"/>
      <c r="I155" s="175"/>
      <c r="J155" s="175"/>
      <c r="K155" s="175"/>
      <c r="L155" s="175">
        <f t="shared" si="40"/>
        <v>0</v>
      </c>
      <c r="M155" s="176"/>
      <c r="N155" s="176"/>
      <c r="O155" s="176"/>
      <c r="P155" s="176"/>
      <c r="Q155" s="176"/>
      <c r="R155" s="176"/>
      <c r="S155" s="176">
        <f t="shared" si="41"/>
        <v>0</v>
      </c>
      <c r="T155" s="177">
        <v>0</v>
      </c>
      <c r="U155" s="177">
        <v>1</v>
      </c>
      <c r="V155" s="178">
        <v>1</v>
      </c>
      <c r="W155" s="178">
        <v>0</v>
      </c>
      <c r="X155" s="178">
        <v>0</v>
      </c>
      <c r="Y155" s="179">
        <v>0</v>
      </c>
      <c r="Z155" s="178">
        <v>0</v>
      </c>
      <c r="AA155" s="136">
        <f t="shared" si="42"/>
        <v>2</v>
      </c>
      <c r="AB155" s="180">
        <v>0</v>
      </c>
      <c r="AC155" s="180">
        <v>0</v>
      </c>
      <c r="AD155" s="180">
        <v>0</v>
      </c>
      <c r="AE155" s="180">
        <v>1</v>
      </c>
      <c r="AF155" s="181">
        <v>0</v>
      </c>
      <c r="AG155" s="180">
        <v>0</v>
      </c>
      <c r="AH155" s="139">
        <f t="shared" si="43"/>
        <v>1</v>
      </c>
      <c r="AI155" s="144" t="s">
        <v>572</v>
      </c>
      <c r="AJ155" s="141">
        <v>187.5</v>
      </c>
      <c r="AK155" s="141">
        <v>600</v>
      </c>
      <c r="AL155" s="142">
        <f t="shared" si="44"/>
        <v>787.5</v>
      </c>
      <c r="AM155" s="51">
        <f t="shared" si="45"/>
        <v>0</v>
      </c>
      <c r="AN155" s="51">
        <f t="shared" si="46"/>
        <v>787.5</v>
      </c>
      <c r="AO155" s="51">
        <f t="shared" si="47"/>
        <v>787.5</v>
      </c>
      <c r="AP155" s="51">
        <f t="shared" si="48"/>
        <v>0</v>
      </c>
      <c r="AQ155" s="51">
        <f t="shared" si="49"/>
        <v>0</v>
      </c>
      <c r="AR155" s="51">
        <f t="shared" si="50"/>
        <v>0</v>
      </c>
      <c r="AS155" s="51">
        <f t="shared" si="51"/>
        <v>0</v>
      </c>
      <c r="AT155" s="51">
        <f t="shared" si="59"/>
        <v>1575</v>
      </c>
      <c r="AU155" s="54">
        <f t="shared" si="52"/>
        <v>0</v>
      </c>
      <c r="AV155" s="54">
        <f t="shared" si="53"/>
        <v>0</v>
      </c>
      <c r="AW155" s="54">
        <f t="shared" si="54"/>
        <v>0</v>
      </c>
      <c r="AX155" s="54">
        <f t="shared" si="55"/>
        <v>787.5</v>
      </c>
      <c r="AY155" s="54">
        <f t="shared" si="56"/>
        <v>0</v>
      </c>
      <c r="AZ155" s="54">
        <f t="shared" si="57"/>
        <v>0</v>
      </c>
      <c r="BA155" s="54">
        <f t="shared" si="58"/>
        <v>787.5</v>
      </c>
      <c r="BB155" s="128"/>
    </row>
    <row r="156" spans="1:54">
      <c r="A156" s="170">
        <v>134</v>
      </c>
      <c r="B156" s="171" t="s">
        <v>696</v>
      </c>
      <c r="C156" s="172"/>
      <c r="D156" s="173"/>
      <c r="E156" s="174"/>
      <c r="F156" s="175"/>
      <c r="G156" s="175"/>
      <c r="H156" s="175"/>
      <c r="I156" s="175"/>
      <c r="J156" s="175"/>
      <c r="K156" s="175"/>
      <c r="L156" s="175">
        <f t="shared" si="40"/>
        <v>0</v>
      </c>
      <c r="M156" s="176"/>
      <c r="N156" s="176"/>
      <c r="O156" s="176"/>
      <c r="P156" s="176"/>
      <c r="Q156" s="176"/>
      <c r="R156" s="176"/>
      <c r="S156" s="176">
        <f t="shared" si="41"/>
        <v>0</v>
      </c>
      <c r="T156" s="177">
        <v>0</v>
      </c>
      <c r="U156" s="177">
        <v>1</v>
      </c>
      <c r="V156" s="178">
        <v>1</v>
      </c>
      <c r="W156" s="178">
        <v>1</v>
      </c>
      <c r="X156" s="178">
        <v>1</v>
      </c>
      <c r="Y156" s="179">
        <v>1</v>
      </c>
      <c r="Z156" s="178">
        <v>0</v>
      </c>
      <c r="AA156" s="136">
        <f t="shared" si="42"/>
        <v>5</v>
      </c>
      <c r="AB156" s="180">
        <v>0</v>
      </c>
      <c r="AC156" s="180">
        <v>0</v>
      </c>
      <c r="AD156" s="180">
        <v>2</v>
      </c>
      <c r="AE156" s="180">
        <v>0</v>
      </c>
      <c r="AF156" s="181">
        <v>2</v>
      </c>
      <c r="AG156" s="180">
        <v>0</v>
      </c>
      <c r="AH156" s="139">
        <f t="shared" si="43"/>
        <v>4</v>
      </c>
      <c r="AI156" s="144" t="s">
        <v>572</v>
      </c>
      <c r="AJ156" s="141">
        <v>225</v>
      </c>
      <c r="AK156" s="141">
        <v>600</v>
      </c>
      <c r="AL156" s="142">
        <f t="shared" si="44"/>
        <v>825</v>
      </c>
      <c r="AM156" s="51">
        <f t="shared" si="45"/>
        <v>0</v>
      </c>
      <c r="AN156" s="51">
        <f t="shared" si="46"/>
        <v>825</v>
      </c>
      <c r="AO156" s="51">
        <f t="shared" si="47"/>
        <v>825</v>
      </c>
      <c r="AP156" s="51">
        <f t="shared" si="48"/>
        <v>825</v>
      </c>
      <c r="AQ156" s="51">
        <f t="shared" si="49"/>
        <v>825</v>
      </c>
      <c r="AR156" s="51">
        <f t="shared" si="50"/>
        <v>825</v>
      </c>
      <c r="AS156" s="51">
        <f t="shared" si="51"/>
        <v>0</v>
      </c>
      <c r="AT156" s="51">
        <f t="shared" si="59"/>
        <v>4125</v>
      </c>
      <c r="AU156" s="54">
        <f t="shared" si="52"/>
        <v>0</v>
      </c>
      <c r="AV156" s="54">
        <f t="shared" si="53"/>
        <v>0</v>
      </c>
      <c r="AW156" s="54">
        <f t="shared" si="54"/>
        <v>1650</v>
      </c>
      <c r="AX156" s="54">
        <f t="shared" si="55"/>
        <v>0</v>
      </c>
      <c r="AY156" s="54">
        <f t="shared" si="56"/>
        <v>1650</v>
      </c>
      <c r="AZ156" s="54">
        <f t="shared" si="57"/>
        <v>0</v>
      </c>
      <c r="BA156" s="54">
        <f t="shared" si="58"/>
        <v>3300</v>
      </c>
      <c r="BB156" s="128"/>
    </row>
    <row r="157" spans="1:54">
      <c r="A157" s="170">
        <v>135</v>
      </c>
      <c r="B157" s="171" t="s">
        <v>697</v>
      </c>
      <c r="C157" s="172"/>
      <c r="D157" s="173"/>
      <c r="E157" s="174"/>
      <c r="F157" s="175"/>
      <c r="G157" s="175"/>
      <c r="H157" s="175"/>
      <c r="I157" s="175"/>
      <c r="J157" s="175"/>
      <c r="K157" s="175"/>
      <c r="L157" s="175">
        <f t="shared" si="40"/>
        <v>0</v>
      </c>
      <c r="M157" s="176"/>
      <c r="N157" s="176"/>
      <c r="O157" s="176"/>
      <c r="P157" s="176"/>
      <c r="Q157" s="176"/>
      <c r="R157" s="176"/>
      <c r="S157" s="176">
        <f t="shared" si="41"/>
        <v>0</v>
      </c>
      <c r="T157" s="177">
        <v>0</v>
      </c>
      <c r="U157" s="177">
        <v>1</v>
      </c>
      <c r="V157" s="178">
        <v>0</v>
      </c>
      <c r="W157" s="178">
        <v>1</v>
      </c>
      <c r="X157" s="178">
        <v>0</v>
      </c>
      <c r="Y157" s="179">
        <v>0</v>
      </c>
      <c r="Z157" s="178">
        <v>0</v>
      </c>
      <c r="AA157" s="136">
        <f t="shared" si="42"/>
        <v>2</v>
      </c>
      <c r="AB157" s="180">
        <v>1</v>
      </c>
      <c r="AC157" s="180">
        <v>0</v>
      </c>
      <c r="AD157" s="180">
        <v>1</v>
      </c>
      <c r="AE157" s="180">
        <v>0</v>
      </c>
      <c r="AF157" s="181">
        <v>0</v>
      </c>
      <c r="AG157" s="180">
        <v>0</v>
      </c>
      <c r="AH157" s="139">
        <f t="shared" si="43"/>
        <v>2</v>
      </c>
      <c r="AI157" s="144" t="s">
        <v>541</v>
      </c>
      <c r="AJ157" s="141">
        <v>1025</v>
      </c>
      <c r="AK157" s="141">
        <v>9000</v>
      </c>
      <c r="AL157" s="142">
        <f t="shared" si="44"/>
        <v>10025</v>
      </c>
      <c r="AM157" s="51">
        <f t="shared" si="45"/>
        <v>0</v>
      </c>
      <c r="AN157" s="51">
        <f t="shared" si="46"/>
        <v>10025</v>
      </c>
      <c r="AO157" s="51">
        <f t="shared" si="47"/>
        <v>0</v>
      </c>
      <c r="AP157" s="51">
        <f t="shared" si="48"/>
        <v>10025</v>
      </c>
      <c r="AQ157" s="51">
        <f t="shared" si="49"/>
        <v>0</v>
      </c>
      <c r="AR157" s="51">
        <f t="shared" si="50"/>
        <v>0</v>
      </c>
      <c r="AS157" s="51">
        <f t="shared" si="51"/>
        <v>0</v>
      </c>
      <c r="AT157" s="51">
        <f t="shared" si="59"/>
        <v>20050</v>
      </c>
      <c r="AU157" s="54">
        <f t="shared" si="52"/>
        <v>10025</v>
      </c>
      <c r="AV157" s="54">
        <f t="shared" si="53"/>
        <v>0</v>
      </c>
      <c r="AW157" s="54">
        <f t="shared" si="54"/>
        <v>10025</v>
      </c>
      <c r="AX157" s="54">
        <f t="shared" si="55"/>
        <v>0</v>
      </c>
      <c r="AY157" s="54">
        <f t="shared" si="56"/>
        <v>0</v>
      </c>
      <c r="AZ157" s="54">
        <f t="shared" si="57"/>
        <v>0</v>
      </c>
      <c r="BA157" s="54">
        <f t="shared" si="58"/>
        <v>20050</v>
      </c>
      <c r="BB157" s="128"/>
    </row>
    <row r="158" spans="1:54">
      <c r="A158" s="170">
        <v>136</v>
      </c>
      <c r="B158" s="171" t="s">
        <v>698</v>
      </c>
      <c r="C158" s="172"/>
      <c r="D158" s="173"/>
      <c r="E158" s="174"/>
      <c r="F158" s="175"/>
      <c r="G158" s="175"/>
      <c r="H158" s="175"/>
      <c r="I158" s="175"/>
      <c r="J158" s="175"/>
      <c r="K158" s="175"/>
      <c r="L158" s="175">
        <f t="shared" si="40"/>
        <v>0</v>
      </c>
      <c r="M158" s="176"/>
      <c r="N158" s="176"/>
      <c r="O158" s="176"/>
      <c r="P158" s="176"/>
      <c r="Q158" s="176"/>
      <c r="R158" s="176"/>
      <c r="S158" s="176">
        <f t="shared" si="41"/>
        <v>0</v>
      </c>
      <c r="T158" s="177">
        <v>0</v>
      </c>
      <c r="U158" s="177">
        <v>0</v>
      </c>
      <c r="V158" s="178">
        <v>1</v>
      </c>
      <c r="W158" s="178">
        <v>0</v>
      </c>
      <c r="X158" s="178">
        <v>0</v>
      </c>
      <c r="Y158" s="179">
        <v>1</v>
      </c>
      <c r="Z158" s="178">
        <v>0</v>
      </c>
      <c r="AA158" s="136">
        <f t="shared" si="42"/>
        <v>2</v>
      </c>
      <c r="AB158" s="180">
        <v>0</v>
      </c>
      <c r="AC158" s="180">
        <v>0</v>
      </c>
      <c r="AD158" s="180">
        <v>0</v>
      </c>
      <c r="AE158" s="180">
        <v>0</v>
      </c>
      <c r="AF158" s="181">
        <v>2</v>
      </c>
      <c r="AG158" s="180">
        <v>0</v>
      </c>
      <c r="AH158" s="139">
        <f t="shared" si="43"/>
        <v>2</v>
      </c>
      <c r="AI158" s="144" t="s">
        <v>572</v>
      </c>
      <c r="AJ158" s="141">
        <v>112.5</v>
      </c>
      <c r="AK158" s="141">
        <v>42</v>
      </c>
      <c r="AL158" s="142">
        <f t="shared" si="44"/>
        <v>154.5</v>
      </c>
      <c r="AM158" s="51">
        <f t="shared" si="45"/>
        <v>0</v>
      </c>
      <c r="AN158" s="51">
        <f t="shared" si="46"/>
        <v>0</v>
      </c>
      <c r="AO158" s="51">
        <f t="shared" si="47"/>
        <v>154.5</v>
      </c>
      <c r="AP158" s="51">
        <f t="shared" si="48"/>
        <v>0</v>
      </c>
      <c r="AQ158" s="51">
        <f t="shared" si="49"/>
        <v>0</v>
      </c>
      <c r="AR158" s="51">
        <f t="shared" si="50"/>
        <v>154.5</v>
      </c>
      <c r="AS158" s="51">
        <f t="shared" si="51"/>
        <v>0</v>
      </c>
      <c r="AT158" s="51">
        <f t="shared" si="59"/>
        <v>309</v>
      </c>
      <c r="AU158" s="54">
        <f t="shared" si="52"/>
        <v>0</v>
      </c>
      <c r="AV158" s="54">
        <f t="shared" si="53"/>
        <v>0</v>
      </c>
      <c r="AW158" s="54">
        <f t="shared" si="54"/>
        <v>0</v>
      </c>
      <c r="AX158" s="54">
        <f t="shared" si="55"/>
        <v>0</v>
      </c>
      <c r="AY158" s="54">
        <f t="shared" si="56"/>
        <v>309</v>
      </c>
      <c r="AZ158" s="54">
        <f t="shared" si="57"/>
        <v>0</v>
      </c>
      <c r="BA158" s="54">
        <f t="shared" si="58"/>
        <v>309</v>
      </c>
      <c r="BB158" s="128"/>
    </row>
    <row r="159" spans="1:54" ht="39.75" customHeight="1">
      <c r="A159" s="170">
        <v>137</v>
      </c>
      <c r="B159" s="200" t="s">
        <v>699</v>
      </c>
      <c r="C159" s="172"/>
      <c r="D159" s="173"/>
      <c r="E159" s="174"/>
      <c r="F159" s="175"/>
      <c r="G159" s="175"/>
      <c r="H159" s="175"/>
      <c r="I159" s="175"/>
      <c r="J159" s="175"/>
      <c r="K159" s="175"/>
      <c r="L159" s="175">
        <f t="shared" si="40"/>
        <v>0</v>
      </c>
      <c r="M159" s="176"/>
      <c r="N159" s="176"/>
      <c r="O159" s="176"/>
      <c r="P159" s="176"/>
      <c r="Q159" s="176"/>
      <c r="R159" s="176"/>
      <c r="S159" s="176">
        <f t="shared" si="41"/>
        <v>0</v>
      </c>
      <c r="T159" s="177">
        <v>0</v>
      </c>
      <c r="U159" s="177">
        <v>0</v>
      </c>
      <c r="V159" s="178">
        <v>0</v>
      </c>
      <c r="W159" s="178">
        <v>0</v>
      </c>
      <c r="X159" s="178">
        <v>0</v>
      </c>
      <c r="Y159" s="179">
        <v>0</v>
      </c>
      <c r="Z159" s="178">
        <v>0</v>
      </c>
      <c r="AA159" s="136">
        <f t="shared" si="42"/>
        <v>0</v>
      </c>
      <c r="AB159" s="180">
        <v>0</v>
      </c>
      <c r="AC159" s="180">
        <v>0</v>
      </c>
      <c r="AD159" s="180">
        <v>0</v>
      </c>
      <c r="AE159" s="180">
        <v>0</v>
      </c>
      <c r="AF159" s="181">
        <v>0</v>
      </c>
      <c r="AG159" s="180">
        <v>0</v>
      </c>
      <c r="AH159" s="139">
        <f t="shared" si="43"/>
        <v>0</v>
      </c>
      <c r="AI159" s="144"/>
      <c r="AJ159" s="141">
        <v>0</v>
      </c>
      <c r="AK159" s="141">
        <v>0</v>
      </c>
      <c r="AL159" s="142">
        <f t="shared" si="44"/>
        <v>0</v>
      </c>
      <c r="AM159" s="51">
        <f t="shared" si="45"/>
        <v>0</v>
      </c>
      <c r="AN159" s="51">
        <f t="shared" si="46"/>
        <v>0</v>
      </c>
      <c r="AO159" s="51">
        <f t="shared" si="47"/>
        <v>0</v>
      </c>
      <c r="AP159" s="51">
        <f t="shared" si="48"/>
        <v>0</v>
      </c>
      <c r="AQ159" s="51">
        <f t="shared" si="49"/>
        <v>0</v>
      </c>
      <c r="AR159" s="51">
        <f t="shared" si="50"/>
        <v>0</v>
      </c>
      <c r="AS159" s="51">
        <f t="shared" si="51"/>
        <v>0</v>
      </c>
      <c r="AT159" s="51">
        <f t="shared" si="59"/>
        <v>0</v>
      </c>
      <c r="AU159" s="54">
        <f t="shared" si="52"/>
        <v>0</v>
      </c>
      <c r="AV159" s="54">
        <f t="shared" si="53"/>
        <v>0</v>
      </c>
      <c r="AW159" s="54">
        <f t="shared" si="54"/>
        <v>0</v>
      </c>
      <c r="AX159" s="54">
        <f t="shared" si="55"/>
        <v>0</v>
      </c>
      <c r="AY159" s="54">
        <f t="shared" si="56"/>
        <v>0</v>
      </c>
      <c r="AZ159" s="54">
        <f t="shared" si="57"/>
        <v>0</v>
      </c>
      <c r="BA159" s="54">
        <f t="shared" si="58"/>
        <v>0</v>
      </c>
      <c r="BB159" s="128"/>
    </row>
    <row r="160" spans="1:54">
      <c r="A160" s="170">
        <v>138</v>
      </c>
      <c r="B160" s="171" t="s">
        <v>596</v>
      </c>
      <c r="C160" s="172"/>
      <c r="D160" s="173"/>
      <c r="E160" s="174"/>
      <c r="F160" s="175"/>
      <c r="G160" s="175"/>
      <c r="H160" s="175"/>
      <c r="I160" s="175"/>
      <c r="J160" s="175"/>
      <c r="K160" s="175"/>
      <c r="L160" s="175">
        <f t="shared" si="40"/>
        <v>0</v>
      </c>
      <c r="M160" s="176"/>
      <c r="N160" s="176"/>
      <c r="O160" s="176"/>
      <c r="P160" s="176"/>
      <c r="Q160" s="176"/>
      <c r="R160" s="176"/>
      <c r="S160" s="176">
        <f t="shared" si="41"/>
        <v>0</v>
      </c>
      <c r="T160" s="177">
        <v>0</v>
      </c>
      <c r="U160" s="177">
        <v>77</v>
      </c>
      <c r="V160" s="178">
        <v>11.8</v>
      </c>
      <c r="W160" s="178">
        <v>42</v>
      </c>
      <c r="X160" s="178">
        <v>11.8</v>
      </c>
      <c r="Y160" s="179">
        <v>30</v>
      </c>
      <c r="Z160" s="178">
        <v>0</v>
      </c>
      <c r="AA160" s="136">
        <f t="shared" si="42"/>
        <v>172.60000000000002</v>
      </c>
      <c r="AB160" s="180">
        <v>0</v>
      </c>
      <c r="AC160" s="180">
        <v>0</v>
      </c>
      <c r="AD160" s="180">
        <v>0</v>
      </c>
      <c r="AE160" s="180">
        <v>0</v>
      </c>
      <c r="AF160" s="181">
        <v>0</v>
      </c>
      <c r="AG160" s="180">
        <v>0</v>
      </c>
      <c r="AH160" s="139">
        <f t="shared" si="43"/>
        <v>0</v>
      </c>
      <c r="AI160" s="144" t="s">
        <v>597</v>
      </c>
      <c r="AJ160" s="141">
        <v>81.25</v>
      </c>
      <c r="AK160" s="141">
        <v>36</v>
      </c>
      <c r="AL160" s="142">
        <f t="shared" si="44"/>
        <v>117.25</v>
      </c>
      <c r="AM160" s="51">
        <f t="shared" si="45"/>
        <v>0</v>
      </c>
      <c r="AN160" s="51">
        <f t="shared" si="46"/>
        <v>9028.25</v>
      </c>
      <c r="AO160" s="51">
        <f t="shared" si="47"/>
        <v>1383.5500000000002</v>
      </c>
      <c r="AP160" s="51">
        <f t="shared" si="48"/>
        <v>4924.5</v>
      </c>
      <c r="AQ160" s="51">
        <f t="shared" si="49"/>
        <v>1383.5500000000002</v>
      </c>
      <c r="AR160" s="51">
        <f t="shared" si="50"/>
        <v>3517.5</v>
      </c>
      <c r="AS160" s="51">
        <f t="shared" si="51"/>
        <v>0</v>
      </c>
      <c r="AT160" s="51">
        <f t="shared" si="59"/>
        <v>20237.349999999999</v>
      </c>
      <c r="AU160" s="54">
        <f t="shared" si="52"/>
        <v>0</v>
      </c>
      <c r="AV160" s="54">
        <f t="shared" si="53"/>
        <v>0</v>
      </c>
      <c r="AW160" s="54">
        <f t="shared" si="54"/>
        <v>0</v>
      </c>
      <c r="AX160" s="54">
        <f t="shared" si="55"/>
        <v>0</v>
      </c>
      <c r="AY160" s="54">
        <f t="shared" si="56"/>
        <v>0</v>
      </c>
      <c r="AZ160" s="54">
        <f t="shared" si="57"/>
        <v>0</v>
      </c>
      <c r="BA160" s="54">
        <f t="shared" si="58"/>
        <v>0</v>
      </c>
      <c r="BB160" s="128"/>
    </row>
    <row r="161" spans="1:54">
      <c r="A161" s="170">
        <v>139</v>
      </c>
      <c r="B161" s="171" t="s">
        <v>700</v>
      </c>
      <c r="C161" s="172"/>
      <c r="D161" s="173" t="s">
        <v>615</v>
      </c>
      <c r="E161" s="174"/>
      <c r="F161" s="175"/>
      <c r="G161" s="175"/>
      <c r="H161" s="175"/>
      <c r="I161" s="175"/>
      <c r="J161" s="175"/>
      <c r="K161" s="175"/>
      <c r="L161" s="175">
        <f t="shared" si="40"/>
        <v>0</v>
      </c>
      <c r="M161" s="176"/>
      <c r="N161" s="176"/>
      <c r="O161" s="176"/>
      <c r="P161" s="176"/>
      <c r="Q161" s="176"/>
      <c r="R161" s="176"/>
      <c r="S161" s="176">
        <f t="shared" si="41"/>
        <v>0</v>
      </c>
      <c r="T161" s="177">
        <v>0</v>
      </c>
      <c r="U161" s="177">
        <v>32</v>
      </c>
      <c r="V161" s="178">
        <v>37</v>
      </c>
      <c r="W161" s="178">
        <v>39</v>
      </c>
      <c r="X161" s="178">
        <v>40</v>
      </c>
      <c r="Y161" s="179">
        <v>56</v>
      </c>
      <c r="Z161" s="178">
        <v>0</v>
      </c>
      <c r="AA161" s="136">
        <f t="shared" si="42"/>
        <v>204</v>
      </c>
      <c r="AB161" s="180">
        <v>52</v>
      </c>
      <c r="AC161" s="180">
        <v>50</v>
      </c>
      <c r="AD161" s="180">
        <v>48</v>
      </c>
      <c r="AE161" s="180">
        <v>59</v>
      </c>
      <c r="AF161" s="181">
        <v>59</v>
      </c>
      <c r="AG161" s="180">
        <v>0</v>
      </c>
      <c r="AH161" s="139">
        <f t="shared" si="43"/>
        <v>268</v>
      </c>
      <c r="AI161" s="144" t="s">
        <v>597</v>
      </c>
      <c r="AJ161" s="141">
        <v>81.25</v>
      </c>
      <c r="AK161" s="141">
        <v>44.4</v>
      </c>
      <c r="AL161" s="142">
        <f t="shared" si="44"/>
        <v>125.65</v>
      </c>
      <c r="AM161" s="51">
        <f t="shared" si="45"/>
        <v>0</v>
      </c>
      <c r="AN161" s="51">
        <f t="shared" si="46"/>
        <v>4020.8</v>
      </c>
      <c r="AO161" s="51">
        <f t="shared" si="47"/>
        <v>4649.05</v>
      </c>
      <c r="AP161" s="51">
        <f t="shared" si="48"/>
        <v>4900.3500000000004</v>
      </c>
      <c r="AQ161" s="51">
        <f t="shared" si="49"/>
        <v>5026</v>
      </c>
      <c r="AR161" s="51">
        <f t="shared" si="50"/>
        <v>7036.4000000000005</v>
      </c>
      <c r="AS161" s="51">
        <f t="shared" si="51"/>
        <v>0</v>
      </c>
      <c r="AT161" s="51">
        <f t="shared" si="59"/>
        <v>25632.600000000002</v>
      </c>
      <c r="AU161" s="54">
        <f t="shared" si="52"/>
        <v>6533.8</v>
      </c>
      <c r="AV161" s="54">
        <f t="shared" si="53"/>
        <v>6282.5</v>
      </c>
      <c r="AW161" s="54">
        <f t="shared" si="54"/>
        <v>6031.2000000000007</v>
      </c>
      <c r="AX161" s="54">
        <f t="shared" si="55"/>
        <v>7413.35</v>
      </c>
      <c r="AY161" s="54">
        <f t="shared" si="56"/>
        <v>7413.35</v>
      </c>
      <c r="AZ161" s="54">
        <f t="shared" si="57"/>
        <v>0</v>
      </c>
      <c r="BA161" s="54">
        <f t="shared" si="58"/>
        <v>33674.199999999997</v>
      </c>
      <c r="BB161" s="128"/>
    </row>
    <row r="162" spans="1:54" ht="34.5">
      <c r="A162" s="170">
        <v>140</v>
      </c>
      <c r="B162" s="171" t="s">
        <v>701</v>
      </c>
      <c r="C162" s="172"/>
      <c r="D162" s="173"/>
      <c r="E162" s="174"/>
      <c r="F162" s="175"/>
      <c r="G162" s="175"/>
      <c r="H162" s="175"/>
      <c r="I162" s="175"/>
      <c r="J162" s="175"/>
      <c r="K162" s="175"/>
      <c r="L162" s="175">
        <f t="shared" si="40"/>
        <v>0</v>
      </c>
      <c r="M162" s="176"/>
      <c r="N162" s="176"/>
      <c r="O162" s="176"/>
      <c r="P162" s="176"/>
      <c r="Q162" s="176"/>
      <c r="R162" s="176"/>
      <c r="S162" s="176">
        <f t="shared" si="41"/>
        <v>0</v>
      </c>
      <c r="T162" s="177">
        <v>0</v>
      </c>
      <c r="U162" s="177">
        <v>0</v>
      </c>
      <c r="V162" s="178">
        <v>0</v>
      </c>
      <c r="W162" s="178">
        <v>0</v>
      </c>
      <c r="X162" s="178">
        <v>0</v>
      </c>
      <c r="Y162" s="179">
        <v>0</v>
      </c>
      <c r="Z162" s="178">
        <v>0</v>
      </c>
      <c r="AA162" s="136">
        <f t="shared" si="42"/>
        <v>0</v>
      </c>
      <c r="AB162" s="180">
        <v>0</v>
      </c>
      <c r="AC162" s="180">
        <v>0</v>
      </c>
      <c r="AD162" s="180">
        <v>0</v>
      </c>
      <c r="AE162" s="180">
        <v>0</v>
      </c>
      <c r="AF162" s="181">
        <v>0</v>
      </c>
      <c r="AG162" s="180">
        <v>0</v>
      </c>
      <c r="AH162" s="139">
        <f t="shared" si="43"/>
        <v>0</v>
      </c>
      <c r="AI162" s="144"/>
      <c r="AJ162" s="141">
        <v>0</v>
      </c>
      <c r="AK162" s="141">
        <v>0</v>
      </c>
      <c r="AL162" s="142">
        <f t="shared" si="44"/>
        <v>0</v>
      </c>
      <c r="AM162" s="51">
        <f t="shared" si="45"/>
        <v>0</v>
      </c>
      <c r="AN162" s="51">
        <f t="shared" si="46"/>
        <v>0</v>
      </c>
      <c r="AO162" s="51">
        <f t="shared" si="47"/>
        <v>0</v>
      </c>
      <c r="AP162" s="51">
        <f t="shared" si="48"/>
        <v>0</v>
      </c>
      <c r="AQ162" s="51">
        <f t="shared" si="49"/>
        <v>0</v>
      </c>
      <c r="AR162" s="51">
        <f t="shared" si="50"/>
        <v>0</v>
      </c>
      <c r="AS162" s="51">
        <f t="shared" si="51"/>
        <v>0</v>
      </c>
      <c r="AT162" s="51">
        <f t="shared" si="59"/>
        <v>0</v>
      </c>
      <c r="AU162" s="54">
        <f t="shared" si="52"/>
        <v>0</v>
      </c>
      <c r="AV162" s="54">
        <f t="shared" si="53"/>
        <v>0</v>
      </c>
      <c r="AW162" s="54">
        <f t="shared" si="54"/>
        <v>0</v>
      </c>
      <c r="AX162" s="54">
        <f t="shared" si="55"/>
        <v>0</v>
      </c>
      <c r="AY162" s="54">
        <f t="shared" si="56"/>
        <v>0</v>
      </c>
      <c r="AZ162" s="54">
        <f t="shared" si="57"/>
        <v>0</v>
      </c>
      <c r="BA162" s="54">
        <f t="shared" si="58"/>
        <v>0</v>
      </c>
      <c r="BB162" s="128"/>
    </row>
    <row r="163" spans="1:54">
      <c r="A163" s="170">
        <v>141</v>
      </c>
      <c r="B163" s="171" t="s">
        <v>702</v>
      </c>
      <c r="C163" s="172"/>
      <c r="D163" s="173"/>
      <c r="E163" s="174"/>
      <c r="F163" s="175"/>
      <c r="G163" s="175"/>
      <c r="H163" s="175"/>
      <c r="I163" s="175"/>
      <c r="J163" s="175"/>
      <c r="K163" s="175"/>
      <c r="L163" s="175">
        <f t="shared" si="40"/>
        <v>0</v>
      </c>
      <c r="M163" s="176"/>
      <c r="N163" s="176"/>
      <c r="O163" s="176"/>
      <c r="P163" s="176"/>
      <c r="Q163" s="176"/>
      <c r="R163" s="176"/>
      <c r="S163" s="176">
        <f t="shared" si="41"/>
        <v>0</v>
      </c>
      <c r="T163" s="177">
        <v>0</v>
      </c>
      <c r="U163" s="177">
        <v>0</v>
      </c>
      <c r="V163" s="178">
        <v>0</v>
      </c>
      <c r="W163" s="178">
        <v>0</v>
      </c>
      <c r="X163" s="178">
        <v>0</v>
      </c>
      <c r="Y163" s="179">
        <v>0</v>
      </c>
      <c r="Z163" s="178">
        <v>0</v>
      </c>
      <c r="AA163" s="136">
        <f t="shared" si="42"/>
        <v>0</v>
      </c>
      <c r="AB163" s="180">
        <v>0</v>
      </c>
      <c r="AC163" s="180">
        <v>0</v>
      </c>
      <c r="AD163" s="180">
        <v>0</v>
      </c>
      <c r="AE163" s="180">
        <v>0</v>
      </c>
      <c r="AF163" s="181">
        <v>0</v>
      </c>
      <c r="AG163" s="180">
        <v>0</v>
      </c>
      <c r="AH163" s="139">
        <f t="shared" si="43"/>
        <v>0</v>
      </c>
      <c r="AI163" s="144"/>
      <c r="AJ163" s="141">
        <v>0</v>
      </c>
      <c r="AK163" s="141">
        <v>0</v>
      </c>
      <c r="AL163" s="142">
        <f t="shared" si="44"/>
        <v>0</v>
      </c>
      <c r="AM163" s="51">
        <f t="shared" si="45"/>
        <v>0</v>
      </c>
      <c r="AN163" s="51">
        <f t="shared" si="46"/>
        <v>0</v>
      </c>
      <c r="AO163" s="51">
        <f t="shared" si="47"/>
        <v>0</v>
      </c>
      <c r="AP163" s="51">
        <f t="shared" si="48"/>
        <v>0</v>
      </c>
      <c r="AQ163" s="51">
        <f t="shared" si="49"/>
        <v>0</v>
      </c>
      <c r="AR163" s="51">
        <f t="shared" si="50"/>
        <v>0</v>
      </c>
      <c r="AS163" s="51">
        <f t="shared" si="51"/>
        <v>0</v>
      </c>
      <c r="AT163" s="51">
        <f t="shared" si="59"/>
        <v>0</v>
      </c>
      <c r="AU163" s="54">
        <f t="shared" si="52"/>
        <v>0</v>
      </c>
      <c r="AV163" s="54">
        <f t="shared" si="53"/>
        <v>0</v>
      </c>
      <c r="AW163" s="54">
        <f t="shared" si="54"/>
        <v>0</v>
      </c>
      <c r="AX163" s="54">
        <f t="shared" si="55"/>
        <v>0</v>
      </c>
      <c r="AY163" s="54">
        <f t="shared" si="56"/>
        <v>0</v>
      </c>
      <c r="AZ163" s="54">
        <f t="shared" si="57"/>
        <v>0</v>
      </c>
      <c r="BA163" s="54">
        <f t="shared" si="58"/>
        <v>0</v>
      </c>
      <c r="BB163" s="128"/>
    </row>
    <row r="164" spans="1:54">
      <c r="A164" s="170">
        <v>142</v>
      </c>
      <c r="B164" s="171" t="s">
        <v>703</v>
      </c>
      <c r="C164" s="172"/>
      <c r="D164" s="173" t="s">
        <v>599</v>
      </c>
      <c r="E164" s="174"/>
      <c r="F164" s="175"/>
      <c r="G164" s="175"/>
      <c r="H164" s="175"/>
      <c r="I164" s="175"/>
      <c r="J164" s="175"/>
      <c r="K164" s="175"/>
      <c r="L164" s="175">
        <f t="shared" si="40"/>
        <v>0</v>
      </c>
      <c r="M164" s="176"/>
      <c r="N164" s="176"/>
      <c r="O164" s="176"/>
      <c r="P164" s="176"/>
      <c r="Q164" s="176"/>
      <c r="R164" s="176"/>
      <c r="S164" s="176">
        <f t="shared" si="41"/>
        <v>0</v>
      </c>
      <c r="T164" s="177">
        <v>0</v>
      </c>
      <c r="U164" s="177">
        <v>0</v>
      </c>
      <c r="V164" s="178">
        <v>0</v>
      </c>
      <c r="W164" s="178">
        <v>0</v>
      </c>
      <c r="X164" s="178">
        <v>0</v>
      </c>
      <c r="Y164" s="179">
        <v>2</v>
      </c>
      <c r="Z164" s="178">
        <v>0</v>
      </c>
      <c r="AA164" s="136">
        <f t="shared" si="42"/>
        <v>2</v>
      </c>
      <c r="AB164" s="180">
        <v>0</v>
      </c>
      <c r="AC164" s="180">
        <v>0</v>
      </c>
      <c r="AD164" s="180">
        <v>0</v>
      </c>
      <c r="AE164" s="180">
        <v>0</v>
      </c>
      <c r="AF164" s="181">
        <v>0</v>
      </c>
      <c r="AG164" s="180">
        <v>0</v>
      </c>
      <c r="AH164" s="139">
        <f t="shared" si="43"/>
        <v>0</v>
      </c>
      <c r="AI164" s="144" t="s">
        <v>572</v>
      </c>
      <c r="AJ164" s="141">
        <v>250</v>
      </c>
      <c r="AK164" s="141">
        <v>324</v>
      </c>
      <c r="AL164" s="142">
        <f t="shared" si="44"/>
        <v>574</v>
      </c>
      <c r="AM164" s="51">
        <f t="shared" si="45"/>
        <v>0</v>
      </c>
      <c r="AN164" s="51">
        <f t="shared" si="46"/>
        <v>0</v>
      </c>
      <c r="AO164" s="51">
        <f t="shared" si="47"/>
        <v>0</v>
      </c>
      <c r="AP164" s="51">
        <f t="shared" si="48"/>
        <v>0</v>
      </c>
      <c r="AQ164" s="51">
        <f t="shared" si="49"/>
        <v>0</v>
      </c>
      <c r="AR164" s="51">
        <f t="shared" si="50"/>
        <v>1148</v>
      </c>
      <c r="AS164" s="51">
        <f t="shared" si="51"/>
        <v>0</v>
      </c>
      <c r="AT164" s="51">
        <f t="shared" si="59"/>
        <v>1148</v>
      </c>
      <c r="AU164" s="54">
        <f t="shared" si="52"/>
        <v>0</v>
      </c>
      <c r="AV164" s="54">
        <f t="shared" si="53"/>
        <v>0</v>
      </c>
      <c r="AW164" s="54">
        <f t="shared" si="54"/>
        <v>0</v>
      </c>
      <c r="AX164" s="54">
        <f t="shared" si="55"/>
        <v>0</v>
      </c>
      <c r="AY164" s="54">
        <f t="shared" si="56"/>
        <v>0</v>
      </c>
      <c r="AZ164" s="54">
        <f t="shared" si="57"/>
        <v>0</v>
      </c>
      <c r="BA164" s="54">
        <f t="shared" si="58"/>
        <v>0</v>
      </c>
      <c r="BB164" s="128"/>
    </row>
    <row r="165" spans="1:54">
      <c r="A165" s="170">
        <v>143</v>
      </c>
      <c r="B165" s="171" t="s">
        <v>704</v>
      </c>
      <c r="C165" s="172"/>
      <c r="D165" s="173" t="s">
        <v>599</v>
      </c>
      <c r="E165" s="174"/>
      <c r="F165" s="175"/>
      <c r="G165" s="175"/>
      <c r="H165" s="175"/>
      <c r="I165" s="175"/>
      <c r="J165" s="175"/>
      <c r="K165" s="175"/>
      <c r="L165" s="175">
        <f t="shared" si="40"/>
        <v>0</v>
      </c>
      <c r="M165" s="176"/>
      <c r="N165" s="176"/>
      <c r="O165" s="176"/>
      <c r="P165" s="176"/>
      <c r="Q165" s="176"/>
      <c r="R165" s="176"/>
      <c r="S165" s="176">
        <f t="shared" si="41"/>
        <v>0</v>
      </c>
      <c r="T165" s="177">
        <v>0</v>
      </c>
      <c r="U165" s="177">
        <v>0</v>
      </c>
      <c r="V165" s="178">
        <v>0</v>
      </c>
      <c r="W165" s="178">
        <v>0</v>
      </c>
      <c r="X165" s="178">
        <v>0</v>
      </c>
      <c r="Y165" s="179">
        <v>1</v>
      </c>
      <c r="Z165" s="178">
        <v>0</v>
      </c>
      <c r="AA165" s="136">
        <f t="shared" si="42"/>
        <v>1</v>
      </c>
      <c r="AB165" s="180">
        <v>0</v>
      </c>
      <c r="AC165" s="180">
        <v>0</v>
      </c>
      <c r="AD165" s="180">
        <v>0</v>
      </c>
      <c r="AE165" s="180">
        <v>0</v>
      </c>
      <c r="AF165" s="181">
        <v>0</v>
      </c>
      <c r="AG165" s="180">
        <v>0</v>
      </c>
      <c r="AH165" s="139">
        <f t="shared" si="43"/>
        <v>0</v>
      </c>
      <c r="AI165" s="144" t="s">
        <v>572</v>
      </c>
      <c r="AJ165" s="141">
        <v>437.5</v>
      </c>
      <c r="AK165" s="141">
        <v>600</v>
      </c>
      <c r="AL165" s="142">
        <f t="shared" si="44"/>
        <v>1037.5</v>
      </c>
      <c r="AM165" s="51">
        <f t="shared" si="45"/>
        <v>0</v>
      </c>
      <c r="AN165" s="51">
        <f t="shared" si="46"/>
        <v>0</v>
      </c>
      <c r="AO165" s="51">
        <f t="shared" si="47"/>
        <v>0</v>
      </c>
      <c r="AP165" s="51">
        <f t="shared" si="48"/>
        <v>0</v>
      </c>
      <c r="AQ165" s="51">
        <f t="shared" si="49"/>
        <v>0</v>
      </c>
      <c r="AR165" s="51">
        <f t="shared" si="50"/>
        <v>1037.5</v>
      </c>
      <c r="AS165" s="51">
        <f t="shared" si="51"/>
        <v>0</v>
      </c>
      <c r="AT165" s="51">
        <f t="shared" si="59"/>
        <v>1037.5</v>
      </c>
      <c r="AU165" s="54">
        <f t="shared" si="52"/>
        <v>0</v>
      </c>
      <c r="AV165" s="54">
        <f t="shared" si="53"/>
        <v>0</v>
      </c>
      <c r="AW165" s="54">
        <f t="shared" si="54"/>
        <v>0</v>
      </c>
      <c r="AX165" s="54">
        <f t="shared" si="55"/>
        <v>0</v>
      </c>
      <c r="AY165" s="54">
        <f t="shared" si="56"/>
        <v>0</v>
      </c>
      <c r="AZ165" s="54">
        <f t="shared" si="57"/>
        <v>0</v>
      </c>
      <c r="BA165" s="54">
        <f t="shared" si="58"/>
        <v>0</v>
      </c>
      <c r="BB165" s="128"/>
    </row>
    <row r="166" spans="1:54">
      <c r="A166" s="170">
        <v>144</v>
      </c>
      <c r="B166" s="171" t="s">
        <v>705</v>
      </c>
      <c r="C166" s="172"/>
      <c r="D166" s="173" t="s">
        <v>599</v>
      </c>
      <c r="E166" s="174"/>
      <c r="F166" s="175"/>
      <c r="G166" s="175"/>
      <c r="H166" s="175"/>
      <c r="I166" s="175"/>
      <c r="J166" s="175"/>
      <c r="K166" s="175"/>
      <c r="L166" s="175">
        <f t="shared" si="40"/>
        <v>0</v>
      </c>
      <c r="M166" s="176"/>
      <c r="N166" s="176"/>
      <c r="O166" s="176"/>
      <c r="P166" s="176"/>
      <c r="Q166" s="176"/>
      <c r="R166" s="176"/>
      <c r="S166" s="176">
        <f t="shared" si="41"/>
        <v>0</v>
      </c>
      <c r="T166" s="177">
        <v>0</v>
      </c>
      <c r="U166" s="177">
        <v>0</v>
      </c>
      <c r="V166" s="178">
        <v>0</v>
      </c>
      <c r="W166" s="178">
        <v>0</v>
      </c>
      <c r="X166" s="178">
        <v>0</v>
      </c>
      <c r="Y166" s="179">
        <v>0</v>
      </c>
      <c r="Z166" s="178">
        <v>0</v>
      </c>
      <c r="AA166" s="136">
        <f t="shared" si="42"/>
        <v>0</v>
      </c>
      <c r="AB166" s="180">
        <v>0</v>
      </c>
      <c r="AC166" s="180">
        <v>0</v>
      </c>
      <c r="AD166" s="180">
        <v>0</v>
      </c>
      <c r="AE166" s="180">
        <v>0</v>
      </c>
      <c r="AF166" s="181">
        <v>1</v>
      </c>
      <c r="AG166" s="180">
        <v>0</v>
      </c>
      <c r="AH166" s="139">
        <f t="shared" si="43"/>
        <v>1</v>
      </c>
      <c r="AI166" s="144" t="s">
        <v>572</v>
      </c>
      <c r="AJ166" s="141">
        <v>437.5</v>
      </c>
      <c r="AK166" s="141">
        <v>660</v>
      </c>
      <c r="AL166" s="142">
        <f t="shared" si="44"/>
        <v>1097.5</v>
      </c>
      <c r="AM166" s="51">
        <f t="shared" si="45"/>
        <v>0</v>
      </c>
      <c r="AN166" s="51">
        <f t="shared" si="46"/>
        <v>0</v>
      </c>
      <c r="AO166" s="51">
        <f t="shared" si="47"/>
        <v>0</v>
      </c>
      <c r="AP166" s="51">
        <f t="shared" si="48"/>
        <v>0</v>
      </c>
      <c r="AQ166" s="51">
        <f t="shared" si="49"/>
        <v>0</v>
      </c>
      <c r="AR166" s="51">
        <f t="shared" si="50"/>
        <v>0</v>
      </c>
      <c r="AS166" s="51">
        <f t="shared" si="51"/>
        <v>0</v>
      </c>
      <c r="AT166" s="51">
        <f t="shared" si="59"/>
        <v>0</v>
      </c>
      <c r="AU166" s="54">
        <f t="shared" si="52"/>
        <v>0</v>
      </c>
      <c r="AV166" s="54">
        <f t="shared" si="53"/>
        <v>0</v>
      </c>
      <c r="AW166" s="54">
        <f t="shared" si="54"/>
        <v>0</v>
      </c>
      <c r="AX166" s="54">
        <f t="shared" si="55"/>
        <v>0</v>
      </c>
      <c r="AY166" s="54">
        <f t="shared" si="56"/>
        <v>1097.5</v>
      </c>
      <c r="AZ166" s="54">
        <f t="shared" si="57"/>
        <v>0</v>
      </c>
      <c r="BA166" s="54">
        <f t="shared" si="58"/>
        <v>1097.5</v>
      </c>
      <c r="BB166" s="128"/>
    </row>
    <row r="167" spans="1:54">
      <c r="A167" s="170">
        <v>145</v>
      </c>
      <c r="B167" s="171" t="s">
        <v>706</v>
      </c>
      <c r="C167" s="172"/>
      <c r="D167" s="173" t="s">
        <v>599</v>
      </c>
      <c r="E167" s="174"/>
      <c r="F167" s="175"/>
      <c r="G167" s="175"/>
      <c r="H167" s="175"/>
      <c r="I167" s="175"/>
      <c r="J167" s="175"/>
      <c r="K167" s="175"/>
      <c r="L167" s="175">
        <f t="shared" si="40"/>
        <v>0</v>
      </c>
      <c r="M167" s="176"/>
      <c r="N167" s="176"/>
      <c r="O167" s="176"/>
      <c r="P167" s="176"/>
      <c r="Q167" s="176"/>
      <c r="R167" s="176"/>
      <c r="S167" s="176">
        <f t="shared" si="41"/>
        <v>0</v>
      </c>
      <c r="T167" s="177">
        <v>0</v>
      </c>
      <c r="U167" s="177">
        <v>0</v>
      </c>
      <c r="V167" s="178">
        <v>0</v>
      </c>
      <c r="W167" s="178">
        <v>0</v>
      </c>
      <c r="X167" s="178">
        <v>0</v>
      </c>
      <c r="Y167" s="179">
        <v>1</v>
      </c>
      <c r="Z167" s="178">
        <v>0</v>
      </c>
      <c r="AA167" s="136">
        <f t="shared" si="42"/>
        <v>1</v>
      </c>
      <c r="AB167" s="180">
        <v>1</v>
      </c>
      <c r="AC167" s="180">
        <v>1</v>
      </c>
      <c r="AD167" s="180">
        <v>1</v>
      </c>
      <c r="AE167" s="180">
        <v>1</v>
      </c>
      <c r="AF167" s="181">
        <v>1</v>
      </c>
      <c r="AG167" s="180">
        <v>0</v>
      </c>
      <c r="AH167" s="139">
        <f t="shared" si="43"/>
        <v>5</v>
      </c>
      <c r="AI167" s="144" t="s">
        <v>572</v>
      </c>
      <c r="AJ167" s="141">
        <v>212.5</v>
      </c>
      <c r="AK167" s="141">
        <v>516</v>
      </c>
      <c r="AL167" s="142">
        <f t="shared" si="44"/>
        <v>728.5</v>
      </c>
      <c r="AM167" s="51">
        <f t="shared" si="45"/>
        <v>0</v>
      </c>
      <c r="AN167" s="51">
        <f t="shared" si="46"/>
        <v>0</v>
      </c>
      <c r="AO167" s="51">
        <f t="shared" si="47"/>
        <v>0</v>
      </c>
      <c r="AP167" s="51">
        <f t="shared" si="48"/>
        <v>0</v>
      </c>
      <c r="AQ167" s="51">
        <f t="shared" si="49"/>
        <v>0</v>
      </c>
      <c r="AR167" s="51">
        <f t="shared" si="50"/>
        <v>728.5</v>
      </c>
      <c r="AS167" s="51">
        <f t="shared" si="51"/>
        <v>0</v>
      </c>
      <c r="AT167" s="51">
        <f t="shared" si="59"/>
        <v>728.5</v>
      </c>
      <c r="AU167" s="54">
        <f t="shared" si="52"/>
        <v>728.5</v>
      </c>
      <c r="AV167" s="54">
        <f t="shared" si="53"/>
        <v>728.5</v>
      </c>
      <c r="AW167" s="54">
        <f t="shared" si="54"/>
        <v>728.5</v>
      </c>
      <c r="AX167" s="54">
        <f t="shared" si="55"/>
        <v>728.5</v>
      </c>
      <c r="AY167" s="54">
        <f t="shared" si="56"/>
        <v>728.5</v>
      </c>
      <c r="AZ167" s="54">
        <f t="shared" si="57"/>
        <v>0</v>
      </c>
      <c r="BA167" s="54">
        <f t="shared" si="58"/>
        <v>3642.5</v>
      </c>
      <c r="BB167" s="128"/>
    </row>
    <row r="168" spans="1:54" ht="66.75" customHeight="1">
      <c r="A168" s="170">
        <v>146</v>
      </c>
      <c r="B168" s="171" t="s">
        <v>707</v>
      </c>
      <c r="C168" s="172"/>
      <c r="D168" s="173"/>
      <c r="E168" s="174"/>
      <c r="F168" s="175"/>
      <c r="G168" s="175"/>
      <c r="H168" s="175"/>
      <c r="I168" s="175"/>
      <c r="J168" s="175"/>
      <c r="K168" s="175"/>
      <c r="L168" s="175">
        <f t="shared" si="40"/>
        <v>0</v>
      </c>
      <c r="M168" s="176"/>
      <c r="N168" s="176"/>
      <c r="O168" s="176"/>
      <c r="P168" s="176"/>
      <c r="Q168" s="176"/>
      <c r="R168" s="176"/>
      <c r="S168" s="176">
        <f t="shared" si="41"/>
        <v>0</v>
      </c>
      <c r="T168" s="177">
        <v>0</v>
      </c>
      <c r="U168" s="177">
        <v>0</v>
      </c>
      <c r="V168" s="178">
        <v>0</v>
      </c>
      <c r="W168" s="178">
        <v>0</v>
      </c>
      <c r="X168" s="178">
        <v>0</v>
      </c>
      <c r="Y168" s="179">
        <v>0</v>
      </c>
      <c r="Z168" s="178">
        <v>0</v>
      </c>
      <c r="AA168" s="136">
        <f t="shared" si="42"/>
        <v>0</v>
      </c>
      <c r="AB168" s="180">
        <v>0</v>
      </c>
      <c r="AC168" s="180">
        <v>0</v>
      </c>
      <c r="AD168" s="180">
        <v>0</v>
      </c>
      <c r="AE168" s="180">
        <v>0</v>
      </c>
      <c r="AF168" s="181">
        <v>0</v>
      </c>
      <c r="AG168" s="180">
        <v>0</v>
      </c>
      <c r="AH168" s="139">
        <f t="shared" si="43"/>
        <v>0</v>
      </c>
      <c r="AI168" s="144"/>
      <c r="AJ168" s="141">
        <v>0</v>
      </c>
      <c r="AK168" s="141">
        <v>0</v>
      </c>
      <c r="AL168" s="142">
        <f t="shared" si="44"/>
        <v>0</v>
      </c>
      <c r="AM168" s="51">
        <f t="shared" si="45"/>
        <v>0</v>
      </c>
      <c r="AN168" s="51">
        <f t="shared" si="46"/>
        <v>0</v>
      </c>
      <c r="AO168" s="51">
        <f t="shared" si="47"/>
        <v>0</v>
      </c>
      <c r="AP168" s="51">
        <f t="shared" si="48"/>
        <v>0</v>
      </c>
      <c r="AQ168" s="51">
        <f t="shared" si="49"/>
        <v>0</v>
      </c>
      <c r="AR168" s="51">
        <f t="shared" si="50"/>
        <v>0</v>
      </c>
      <c r="AS168" s="51">
        <f t="shared" si="51"/>
        <v>0</v>
      </c>
      <c r="AT168" s="51">
        <f t="shared" si="59"/>
        <v>0</v>
      </c>
      <c r="AU168" s="54">
        <f t="shared" si="52"/>
        <v>0</v>
      </c>
      <c r="AV168" s="54">
        <f t="shared" si="53"/>
        <v>0</v>
      </c>
      <c r="AW168" s="54">
        <f t="shared" si="54"/>
        <v>0</v>
      </c>
      <c r="AX168" s="54">
        <f t="shared" si="55"/>
        <v>0</v>
      </c>
      <c r="AY168" s="54">
        <f t="shared" si="56"/>
        <v>0</v>
      </c>
      <c r="AZ168" s="54">
        <f t="shared" si="57"/>
        <v>0</v>
      </c>
      <c r="BA168" s="54">
        <f t="shared" si="58"/>
        <v>0</v>
      </c>
      <c r="BB168" s="128"/>
    </row>
    <row r="169" spans="1:54" ht="23.1">
      <c r="A169" s="170">
        <v>147</v>
      </c>
      <c r="B169" s="171" t="s">
        <v>708</v>
      </c>
      <c r="C169" s="172"/>
      <c r="D169" s="173"/>
      <c r="E169" s="174"/>
      <c r="F169" s="175"/>
      <c r="G169" s="175"/>
      <c r="H169" s="175"/>
      <c r="I169" s="175"/>
      <c r="J169" s="175"/>
      <c r="K169" s="175"/>
      <c r="L169" s="175">
        <f t="shared" si="40"/>
        <v>0</v>
      </c>
      <c r="M169" s="176"/>
      <c r="N169" s="176"/>
      <c r="O169" s="176"/>
      <c r="P169" s="176"/>
      <c r="Q169" s="176"/>
      <c r="R169" s="176"/>
      <c r="S169" s="176">
        <f t="shared" si="41"/>
        <v>0</v>
      </c>
      <c r="T169" s="177">
        <v>0</v>
      </c>
      <c r="U169" s="177">
        <v>0</v>
      </c>
      <c r="V169" s="178">
        <v>0</v>
      </c>
      <c r="W169" s="178">
        <v>0</v>
      </c>
      <c r="X169" s="178">
        <v>0</v>
      </c>
      <c r="Y169" s="179">
        <v>0</v>
      </c>
      <c r="Z169" s="178">
        <v>0</v>
      </c>
      <c r="AA169" s="136">
        <f t="shared" si="42"/>
        <v>0</v>
      </c>
      <c r="AB169" s="180">
        <v>0</v>
      </c>
      <c r="AC169" s="180">
        <v>0</v>
      </c>
      <c r="AD169" s="180">
        <v>0</v>
      </c>
      <c r="AE169" s="180">
        <v>0</v>
      </c>
      <c r="AF169" s="181">
        <v>0</v>
      </c>
      <c r="AG169" s="180">
        <v>0</v>
      </c>
      <c r="AH169" s="139">
        <f t="shared" si="43"/>
        <v>0</v>
      </c>
      <c r="AI169" s="144"/>
      <c r="AJ169" s="141">
        <v>0</v>
      </c>
      <c r="AK169" s="141">
        <v>0</v>
      </c>
      <c r="AL169" s="142">
        <f t="shared" si="44"/>
        <v>0</v>
      </c>
      <c r="AM169" s="51">
        <f t="shared" si="45"/>
        <v>0</v>
      </c>
      <c r="AN169" s="51">
        <f t="shared" si="46"/>
        <v>0</v>
      </c>
      <c r="AO169" s="51">
        <f t="shared" si="47"/>
        <v>0</v>
      </c>
      <c r="AP169" s="51">
        <f t="shared" si="48"/>
        <v>0</v>
      </c>
      <c r="AQ169" s="51">
        <f t="shared" si="49"/>
        <v>0</v>
      </c>
      <c r="AR169" s="51">
        <f t="shared" si="50"/>
        <v>0</v>
      </c>
      <c r="AS169" s="51">
        <f t="shared" si="51"/>
        <v>0</v>
      </c>
      <c r="AT169" s="51">
        <f t="shared" si="59"/>
        <v>0</v>
      </c>
      <c r="AU169" s="54">
        <f t="shared" si="52"/>
        <v>0</v>
      </c>
      <c r="AV169" s="54">
        <f t="shared" si="53"/>
        <v>0</v>
      </c>
      <c r="AW169" s="54">
        <f t="shared" si="54"/>
        <v>0</v>
      </c>
      <c r="AX169" s="54">
        <f t="shared" si="55"/>
        <v>0</v>
      </c>
      <c r="AY169" s="54">
        <f t="shared" si="56"/>
        <v>0</v>
      </c>
      <c r="AZ169" s="54">
        <f t="shared" si="57"/>
        <v>0</v>
      </c>
      <c r="BA169" s="54">
        <f t="shared" si="58"/>
        <v>0</v>
      </c>
      <c r="BB169" s="128"/>
    </row>
    <row r="170" spans="1:54">
      <c r="A170" s="170">
        <v>148</v>
      </c>
      <c r="B170" s="171" t="s">
        <v>709</v>
      </c>
      <c r="C170" s="172"/>
      <c r="D170" s="173" t="s">
        <v>599</v>
      </c>
      <c r="E170" s="174"/>
      <c r="F170" s="175"/>
      <c r="G170" s="175"/>
      <c r="H170" s="175"/>
      <c r="I170" s="175"/>
      <c r="J170" s="175"/>
      <c r="K170" s="175"/>
      <c r="L170" s="175">
        <f t="shared" si="40"/>
        <v>0</v>
      </c>
      <c r="M170" s="176"/>
      <c r="N170" s="176"/>
      <c r="O170" s="176"/>
      <c r="P170" s="176"/>
      <c r="Q170" s="176"/>
      <c r="R170" s="176"/>
      <c r="S170" s="176">
        <f t="shared" si="41"/>
        <v>0</v>
      </c>
      <c r="T170" s="177">
        <v>0</v>
      </c>
      <c r="U170" s="177">
        <v>0</v>
      </c>
      <c r="V170" s="178">
        <v>0</v>
      </c>
      <c r="W170" s="178">
        <v>0</v>
      </c>
      <c r="X170" s="178">
        <v>0</v>
      </c>
      <c r="Y170" s="179">
        <v>0</v>
      </c>
      <c r="Z170" s="178">
        <v>2</v>
      </c>
      <c r="AA170" s="136">
        <f t="shared" si="42"/>
        <v>2</v>
      </c>
      <c r="AB170" s="180">
        <v>0</v>
      </c>
      <c r="AC170" s="180">
        <v>0</v>
      </c>
      <c r="AD170" s="180">
        <v>0</v>
      </c>
      <c r="AE170" s="180">
        <v>0</v>
      </c>
      <c r="AF170" s="181">
        <v>0</v>
      </c>
      <c r="AG170" s="180">
        <v>0</v>
      </c>
      <c r="AH170" s="139">
        <f t="shared" si="43"/>
        <v>0</v>
      </c>
      <c r="AI170" s="144" t="s">
        <v>572</v>
      </c>
      <c r="AJ170" s="141">
        <v>112.5</v>
      </c>
      <c r="AK170" s="141">
        <v>518.4</v>
      </c>
      <c r="AL170" s="142">
        <f t="shared" si="44"/>
        <v>630.9</v>
      </c>
      <c r="AM170" s="51">
        <f t="shared" si="45"/>
        <v>0</v>
      </c>
      <c r="AN170" s="51">
        <f t="shared" si="46"/>
        <v>0</v>
      </c>
      <c r="AO170" s="51">
        <f t="shared" si="47"/>
        <v>0</v>
      </c>
      <c r="AP170" s="51">
        <f t="shared" si="48"/>
        <v>0</v>
      </c>
      <c r="AQ170" s="51">
        <f t="shared" si="49"/>
        <v>0</v>
      </c>
      <c r="AR170" s="51">
        <f t="shared" si="50"/>
        <v>0</v>
      </c>
      <c r="AS170" s="51">
        <f t="shared" si="51"/>
        <v>1261.8</v>
      </c>
      <c r="AT170" s="51">
        <f t="shared" si="59"/>
        <v>1261.8</v>
      </c>
      <c r="AU170" s="54">
        <f t="shared" si="52"/>
        <v>0</v>
      </c>
      <c r="AV170" s="54">
        <f t="shared" si="53"/>
        <v>0</v>
      </c>
      <c r="AW170" s="54">
        <f t="shared" si="54"/>
        <v>0</v>
      </c>
      <c r="AX170" s="54">
        <f t="shared" si="55"/>
        <v>0</v>
      </c>
      <c r="AY170" s="54">
        <f t="shared" si="56"/>
        <v>0</v>
      </c>
      <c r="AZ170" s="54">
        <f t="shared" si="57"/>
        <v>0</v>
      </c>
      <c r="BA170" s="54">
        <f t="shared" si="58"/>
        <v>0</v>
      </c>
      <c r="BB170" s="128"/>
    </row>
    <row r="171" spans="1:54">
      <c r="A171" s="170">
        <v>149</v>
      </c>
      <c r="B171" s="171" t="s">
        <v>710</v>
      </c>
      <c r="C171" s="172"/>
      <c r="D171" s="173" t="s">
        <v>599</v>
      </c>
      <c r="E171" s="174"/>
      <c r="F171" s="175"/>
      <c r="G171" s="175"/>
      <c r="H171" s="175"/>
      <c r="I171" s="175"/>
      <c r="J171" s="175"/>
      <c r="K171" s="175"/>
      <c r="L171" s="175">
        <f t="shared" si="40"/>
        <v>0</v>
      </c>
      <c r="M171" s="176"/>
      <c r="N171" s="176"/>
      <c r="O171" s="176"/>
      <c r="P171" s="176"/>
      <c r="Q171" s="176"/>
      <c r="R171" s="176"/>
      <c r="S171" s="176">
        <f t="shared" si="41"/>
        <v>0</v>
      </c>
      <c r="T171" s="177">
        <v>0</v>
      </c>
      <c r="U171" s="177">
        <v>0</v>
      </c>
      <c r="V171" s="178">
        <v>0</v>
      </c>
      <c r="W171" s="178">
        <v>0</v>
      </c>
      <c r="X171" s="178">
        <v>0</v>
      </c>
      <c r="Y171" s="179">
        <v>0</v>
      </c>
      <c r="Z171" s="178">
        <v>0</v>
      </c>
      <c r="AA171" s="136">
        <f t="shared" si="42"/>
        <v>0</v>
      </c>
      <c r="AB171" s="180">
        <v>0</v>
      </c>
      <c r="AC171" s="180">
        <v>0</v>
      </c>
      <c r="AD171" s="180">
        <v>0</v>
      </c>
      <c r="AE171" s="180">
        <v>0</v>
      </c>
      <c r="AF171" s="181">
        <v>1</v>
      </c>
      <c r="AG171" s="180">
        <v>0</v>
      </c>
      <c r="AH171" s="139">
        <f t="shared" si="43"/>
        <v>1</v>
      </c>
      <c r="AI171" s="144" t="s">
        <v>572</v>
      </c>
      <c r="AJ171" s="141">
        <v>112.5</v>
      </c>
      <c r="AK171" s="141">
        <v>462</v>
      </c>
      <c r="AL171" s="142">
        <f t="shared" si="44"/>
        <v>574.5</v>
      </c>
      <c r="AM171" s="51">
        <f t="shared" si="45"/>
        <v>0</v>
      </c>
      <c r="AN171" s="51">
        <f t="shared" si="46"/>
        <v>0</v>
      </c>
      <c r="AO171" s="51">
        <f t="shared" si="47"/>
        <v>0</v>
      </c>
      <c r="AP171" s="51">
        <f t="shared" si="48"/>
        <v>0</v>
      </c>
      <c r="AQ171" s="51">
        <f t="shared" si="49"/>
        <v>0</v>
      </c>
      <c r="AR171" s="51">
        <f t="shared" si="50"/>
        <v>0</v>
      </c>
      <c r="AS171" s="51">
        <f t="shared" si="51"/>
        <v>0</v>
      </c>
      <c r="AT171" s="51">
        <f t="shared" si="59"/>
        <v>0</v>
      </c>
      <c r="AU171" s="54">
        <f t="shared" si="52"/>
        <v>0</v>
      </c>
      <c r="AV171" s="54">
        <f t="shared" si="53"/>
        <v>0</v>
      </c>
      <c r="AW171" s="54">
        <f t="shared" si="54"/>
        <v>0</v>
      </c>
      <c r="AX171" s="54">
        <f t="shared" si="55"/>
        <v>0</v>
      </c>
      <c r="AY171" s="54">
        <f t="shared" si="56"/>
        <v>574.5</v>
      </c>
      <c r="AZ171" s="54">
        <f t="shared" si="57"/>
        <v>0</v>
      </c>
      <c r="BA171" s="54">
        <f t="shared" si="58"/>
        <v>574.5</v>
      </c>
      <c r="BB171" s="128"/>
    </row>
    <row r="172" spans="1:54">
      <c r="A172" s="170">
        <v>150</v>
      </c>
      <c r="B172" s="171" t="s">
        <v>711</v>
      </c>
      <c r="C172" s="172"/>
      <c r="D172" s="173"/>
      <c r="E172" s="174"/>
      <c r="F172" s="175"/>
      <c r="G172" s="175"/>
      <c r="H172" s="175"/>
      <c r="I172" s="175"/>
      <c r="J172" s="175"/>
      <c r="K172" s="175"/>
      <c r="L172" s="175">
        <f t="shared" si="40"/>
        <v>0</v>
      </c>
      <c r="M172" s="176"/>
      <c r="N172" s="176"/>
      <c r="O172" s="176"/>
      <c r="P172" s="176"/>
      <c r="Q172" s="176"/>
      <c r="R172" s="176"/>
      <c r="S172" s="176">
        <f t="shared" si="41"/>
        <v>0</v>
      </c>
      <c r="T172" s="177">
        <v>0</v>
      </c>
      <c r="U172" s="177">
        <v>0</v>
      </c>
      <c r="V172" s="178">
        <v>0</v>
      </c>
      <c r="W172" s="178">
        <v>0</v>
      </c>
      <c r="X172" s="178">
        <v>0</v>
      </c>
      <c r="Y172" s="179">
        <v>0</v>
      </c>
      <c r="Z172" s="178">
        <v>0</v>
      </c>
      <c r="AA172" s="136">
        <f t="shared" si="42"/>
        <v>0</v>
      </c>
      <c r="AB172" s="180">
        <v>0</v>
      </c>
      <c r="AC172" s="180">
        <v>0</v>
      </c>
      <c r="AD172" s="180">
        <v>0</v>
      </c>
      <c r="AE172" s="180">
        <v>0</v>
      </c>
      <c r="AF172" s="181">
        <v>0</v>
      </c>
      <c r="AG172" s="180">
        <v>0</v>
      </c>
      <c r="AH172" s="139">
        <f t="shared" si="43"/>
        <v>0</v>
      </c>
      <c r="AI172" s="144"/>
      <c r="AJ172" s="141">
        <v>0</v>
      </c>
      <c r="AK172" s="141">
        <v>0</v>
      </c>
      <c r="AL172" s="142">
        <f t="shared" si="44"/>
        <v>0</v>
      </c>
      <c r="AM172" s="51">
        <f t="shared" si="45"/>
        <v>0</v>
      </c>
      <c r="AN172" s="51">
        <f t="shared" si="46"/>
        <v>0</v>
      </c>
      <c r="AO172" s="51">
        <f t="shared" si="47"/>
        <v>0</v>
      </c>
      <c r="AP172" s="51">
        <f t="shared" si="48"/>
        <v>0</v>
      </c>
      <c r="AQ172" s="51">
        <f t="shared" si="49"/>
        <v>0</v>
      </c>
      <c r="AR172" s="51">
        <f t="shared" si="50"/>
        <v>0</v>
      </c>
      <c r="AS172" s="51">
        <f t="shared" si="51"/>
        <v>0</v>
      </c>
      <c r="AT172" s="51">
        <f t="shared" si="59"/>
        <v>0</v>
      </c>
      <c r="AU172" s="54">
        <f t="shared" si="52"/>
        <v>0</v>
      </c>
      <c r="AV172" s="54">
        <f t="shared" si="53"/>
        <v>0</v>
      </c>
      <c r="AW172" s="54">
        <f t="shared" si="54"/>
        <v>0</v>
      </c>
      <c r="AX172" s="54">
        <f t="shared" si="55"/>
        <v>0</v>
      </c>
      <c r="AY172" s="54">
        <f t="shared" si="56"/>
        <v>0</v>
      </c>
      <c r="AZ172" s="54">
        <f t="shared" si="57"/>
        <v>0</v>
      </c>
      <c r="BA172" s="54">
        <f t="shared" si="58"/>
        <v>0</v>
      </c>
      <c r="BB172" s="128"/>
    </row>
    <row r="173" spans="1:54">
      <c r="A173" s="170">
        <v>151</v>
      </c>
      <c r="B173" s="171" t="s">
        <v>709</v>
      </c>
      <c r="C173" s="172"/>
      <c r="D173" s="173" t="s">
        <v>599</v>
      </c>
      <c r="E173" s="174"/>
      <c r="F173" s="175"/>
      <c r="G173" s="175"/>
      <c r="H173" s="175"/>
      <c r="I173" s="175"/>
      <c r="J173" s="175"/>
      <c r="K173" s="175"/>
      <c r="L173" s="175">
        <f t="shared" si="40"/>
        <v>0</v>
      </c>
      <c r="M173" s="176"/>
      <c r="N173" s="176"/>
      <c r="O173" s="176"/>
      <c r="P173" s="176"/>
      <c r="Q173" s="176"/>
      <c r="R173" s="176"/>
      <c r="S173" s="176">
        <f t="shared" si="41"/>
        <v>0</v>
      </c>
      <c r="T173" s="177">
        <v>0</v>
      </c>
      <c r="U173" s="177">
        <v>0</v>
      </c>
      <c r="V173" s="178">
        <v>0</v>
      </c>
      <c r="W173" s="178">
        <v>0</v>
      </c>
      <c r="X173" s="178">
        <v>0</v>
      </c>
      <c r="Y173" s="179">
        <v>0</v>
      </c>
      <c r="Z173" s="178">
        <v>2</v>
      </c>
      <c r="AA173" s="136">
        <f t="shared" si="42"/>
        <v>2</v>
      </c>
      <c r="AB173" s="180">
        <v>0</v>
      </c>
      <c r="AC173" s="180">
        <v>0</v>
      </c>
      <c r="AD173" s="180">
        <v>0</v>
      </c>
      <c r="AE173" s="180">
        <v>0</v>
      </c>
      <c r="AF173" s="181">
        <v>0</v>
      </c>
      <c r="AG173" s="180">
        <v>0</v>
      </c>
      <c r="AH173" s="139">
        <f t="shared" si="43"/>
        <v>0</v>
      </c>
      <c r="AI173" s="144" t="s">
        <v>572</v>
      </c>
      <c r="AJ173" s="141">
        <v>112.5</v>
      </c>
      <c r="AK173" s="141">
        <v>477.59999999999997</v>
      </c>
      <c r="AL173" s="142">
        <f t="shared" si="44"/>
        <v>590.09999999999991</v>
      </c>
      <c r="AM173" s="51">
        <f t="shared" si="45"/>
        <v>0</v>
      </c>
      <c r="AN173" s="51">
        <f t="shared" si="46"/>
        <v>0</v>
      </c>
      <c r="AO173" s="51">
        <f t="shared" si="47"/>
        <v>0</v>
      </c>
      <c r="AP173" s="51">
        <f t="shared" si="48"/>
        <v>0</v>
      </c>
      <c r="AQ173" s="51">
        <f t="shared" si="49"/>
        <v>0</v>
      </c>
      <c r="AR173" s="51">
        <f t="shared" si="50"/>
        <v>0</v>
      </c>
      <c r="AS173" s="51">
        <f t="shared" si="51"/>
        <v>1180.1999999999998</v>
      </c>
      <c r="AT173" s="51">
        <f t="shared" si="59"/>
        <v>1180.1999999999998</v>
      </c>
      <c r="AU173" s="54">
        <f t="shared" si="52"/>
        <v>0</v>
      </c>
      <c r="AV173" s="54">
        <f t="shared" si="53"/>
        <v>0</v>
      </c>
      <c r="AW173" s="54">
        <f t="shared" si="54"/>
        <v>0</v>
      </c>
      <c r="AX173" s="54">
        <f t="shared" si="55"/>
        <v>0</v>
      </c>
      <c r="AY173" s="54">
        <f t="shared" si="56"/>
        <v>0</v>
      </c>
      <c r="AZ173" s="54">
        <f t="shared" si="57"/>
        <v>0</v>
      </c>
      <c r="BA173" s="54">
        <f t="shared" si="58"/>
        <v>0</v>
      </c>
      <c r="BB173" s="128"/>
    </row>
    <row r="174" spans="1:54">
      <c r="A174" s="170">
        <v>152</v>
      </c>
      <c r="B174" s="171" t="s">
        <v>712</v>
      </c>
      <c r="C174" s="172"/>
      <c r="D174" s="173" t="s">
        <v>599</v>
      </c>
      <c r="E174" s="174"/>
      <c r="F174" s="175"/>
      <c r="G174" s="175"/>
      <c r="H174" s="175"/>
      <c r="I174" s="175"/>
      <c r="J174" s="175"/>
      <c r="K174" s="175"/>
      <c r="L174" s="175">
        <f t="shared" si="40"/>
        <v>0</v>
      </c>
      <c r="M174" s="176"/>
      <c r="N174" s="176"/>
      <c r="O174" s="176"/>
      <c r="P174" s="176"/>
      <c r="Q174" s="176"/>
      <c r="R174" s="176"/>
      <c r="S174" s="176">
        <f t="shared" si="41"/>
        <v>0</v>
      </c>
      <c r="T174" s="177">
        <v>0</v>
      </c>
      <c r="U174" s="177">
        <v>0</v>
      </c>
      <c r="V174" s="178">
        <v>0</v>
      </c>
      <c r="W174" s="178">
        <v>0</v>
      </c>
      <c r="X174" s="178">
        <v>0</v>
      </c>
      <c r="Y174" s="179">
        <v>0</v>
      </c>
      <c r="Z174" s="178">
        <v>0</v>
      </c>
      <c r="AA174" s="136">
        <f t="shared" si="42"/>
        <v>0</v>
      </c>
      <c r="AB174" s="180">
        <v>0</v>
      </c>
      <c r="AC174" s="180">
        <v>1</v>
      </c>
      <c r="AD174" s="180">
        <v>1</v>
      </c>
      <c r="AE174" s="180">
        <v>1</v>
      </c>
      <c r="AF174" s="181">
        <v>0</v>
      </c>
      <c r="AG174" s="180">
        <v>0</v>
      </c>
      <c r="AH174" s="139">
        <f t="shared" si="43"/>
        <v>3</v>
      </c>
      <c r="AI174" s="144" t="s">
        <v>572</v>
      </c>
      <c r="AJ174" s="141">
        <v>112.5</v>
      </c>
      <c r="AK174" s="141">
        <v>477.59999999999997</v>
      </c>
      <c r="AL174" s="142">
        <f t="shared" si="44"/>
        <v>590.09999999999991</v>
      </c>
      <c r="AM174" s="51">
        <f t="shared" si="45"/>
        <v>0</v>
      </c>
      <c r="AN174" s="51">
        <f t="shared" si="46"/>
        <v>0</v>
      </c>
      <c r="AO174" s="51">
        <f t="shared" si="47"/>
        <v>0</v>
      </c>
      <c r="AP174" s="51">
        <f t="shared" si="48"/>
        <v>0</v>
      </c>
      <c r="AQ174" s="51">
        <f t="shared" si="49"/>
        <v>0</v>
      </c>
      <c r="AR174" s="51">
        <f t="shared" si="50"/>
        <v>0</v>
      </c>
      <c r="AS174" s="51">
        <f t="shared" si="51"/>
        <v>0</v>
      </c>
      <c r="AT174" s="51">
        <f t="shared" si="59"/>
        <v>0</v>
      </c>
      <c r="AU174" s="54">
        <f t="shared" si="52"/>
        <v>0</v>
      </c>
      <c r="AV174" s="54">
        <f t="shared" si="53"/>
        <v>590.09999999999991</v>
      </c>
      <c r="AW174" s="54">
        <f t="shared" si="54"/>
        <v>590.09999999999991</v>
      </c>
      <c r="AX174" s="54">
        <f t="shared" si="55"/>
        <v>590.09999999999991</v>
      </c>
      <c r="AY174" s="54">
        <f t="shared" si="56"/>
        <v>0</v>
      </c>
      <c r="AZ174" s="54">
        <f t="shared" si="57"/>
        <v>0</v>
      </c>
      <c r="BA174" s="54">
        <f t="shared" si="58"/>
        <v>1770.2999999999997</v>
      </c>
      <c r="BB174" s="128"/>
    </row>
    <row r="175" spans="1:54">
      <c r="A175" s="170">
        <v>153</v>
      </c>
      <c r="B175" s="171" t="s">
        <v>713</v>
      </c>
      <c r="C175" s="172"/>
      <c r="D175" s="173"/>
      <c r="E175" s="174"/>
      <c r="F175" s="175"/>
      <c r="G175" s="175"/>
      <c r="H175" s="175"/>
      <c r="I175" s="175"/>
      <c r="J175" s="175"/>
      <c r="K175" s="175"/>
      <c r="L175" s="175">
        <f t="shared" si="40"/>
        <v>0</v>
      </c>
      <c r="M175" s="176"/>
      <c r="N175" s="176"/>
      <c r="O175" s="176"/>
      <c r="P175" s="176"/>
      <c r="Q175" s="176"/>
      <c r="R175" s="176"/>
      <c r="S175" s="176">
        <f t="shared" si="41"/>
        <v>0</v>
      </c>
      <c r="T175" s="177">
        <v>0</v>
      </c>
      <c r="U175" s="177">
        <v>0</v>
      </c>
      <c r="V175" s="178">
        <v>0</v>
      </c>
      <c r="W175" s="178">
        <v>0</v>
      </c>
      <c r="X175" s="178">
        <v>0</v>
      </c>
      <c r="Y175" s="179">
        <v>0</v>
      </c>
      <c r="Z175" s="178">
        <v>0</v>
      </c>
      <c r="AA175" s="136">
        <v>1</v>
      </c>
      <c r="AB175" s="180">
        <v>0</v>
      </c>
      <c r="AC175" s="180">
        <v>0</v>
      </c>
      <c r="AD175" s="180">
        <v>0</v>
      </c>
      <c r="AE175" s="180">
        <v>0</v>
      </c>
      <c r="AF175" s="181">
        <v>0</v>
      </c>
      <c r="AG175" s="180">
        <v>0</v>
      </c>
      <c r="AH175" s="139">
        <v>1</v>
      </c>
      <c r="AI175" s="144" t="s">
        <v>585</v>
      </c>
      <c r="AJ175" s="141">
        <v>18750</v>
      </c>
      <c r="AK175" s="141">
        <v>90000</v>
      </c>
      <c r="AL175" s="142">
        <f t="shared" si="44"/>
        <v>108750</v>
      </c>
      <c r="AM175" s="51">
        <f t="shared" si="45"/>
        <v>0</v>
      </c>
      <c r="AN175" s="51">
        <f t="shared" si="46"/>
        <v>0</v>
      </c>
      <c r="AO175" s="51">
        <f t="shared" si="47"/>
        <v>0</v>
      </c>
      <c r="AP175" s="51">
        <f t="shared" si="48"/>
        <v>0</v>
      </c>
      <c r="AQ175" s="51">
        <f t="shared" si="49"/>
        <v>0</v>
      </c>
      <c r="AR175" s="51">
        <f t="shared" si="50"/>
        <v>0</v>
      </c>
      <c r="AS175" s="51">
        <f t="shared" si="51"/>
        <v>0</v>
      </c>
      <c r="AT175" s="51">
        <f>AL175*AA175</f>
        <v>108750</v>
      </c>
      <c r="AU175" s="54">
        <f t="shared" si="52"/>
        <v>0</v>
      </c>
      <c r="AV175" s="54">
        <f t="shared" si="53"/>
        <v>0</v>
      </c>
      <c r="AW175" s="54">
        <f t="shared" si="54"/>
        <v>0</v>
      </c>
      <c r="AX175" s="54">
        <f t="shared" si="55"/>
        <v>0</v>
      </c>
      <c r="AY175" s="54">
        <f t="shared" si="56"/>
        <v>0</v>
      </c>
      <c r="AZ175" s="54">
        <f t="shared" si="57"/>
        <v>0</v>
      </c>
      <c r="BA175" s="54">
        <f t="shared" ref="BA175" si="63">AL175*AH175</f>
        <v>108750</v>
      </c>
      <c r="BB175" s="128"/>
    </row>
    <row r="176" spans="1:54">
      <c r="A176" s="170">
        <v>154</v>
      </c>
      <c r="B176" s="171" t="s">
        <v>714</v>
      </c>
      <c r="C176" s="172"/>
      <c r="D176" s="173"/>
      <c r="E176" s="174"/>
      <c r="F176" s="175"/>
      <c r="G176" s="175"/>
      <c r="H176" s="175"/>
      <c r="I176" s="175"/>
      <c r="J176" s="175"/>
      <c r="K176" s="175"/>
      <c r="L176" s="175">
        <f t="shared" si="40"/>
        <v>0</v>
      </c>
      <c r="M176" s="176"/>
      <c r="N176" s="176"/>
      <c r="O176" s="176"/>
      <c r="P176" s="176"/>
      <c r="Q176" s="176"/>
      <c r="R176" s="176"/>
      <c r="S176" s="176">
        <f t="shared" si="41"/>
        <v>0</v>
      </c>
      <c r="T176" s="177">
        <v>0</v>
      </c>
      <c r="U176" s="177">
        <v>0</v>
      </c>
      <c r="V176" s="178">
        <v>0</v>
      </c>
      <c r="W176" s="178">
        <v>0</v>
      </c>
      <c r="X176" s="178">
        <v>0</v>
      </c>
      <c r="Y176" s="179">
        <v>0</v>
      </c>
      <c r="Z176" s="178">
        <v>5</v>
      </c>
      <c r="AA176" s="136">
        <f t="shared" si="42"/>
        <v>5</v>
      </c>
      <c r="AB176" s="180">
        <v>0</v>
      </c>
      <c r="AC176" s="180">
        <v>0</v>
      </c>
      <c r="AD176" s="180">
        <v>0</v>
      </c>
      <c r="AE176" s="180">
        <v>0</v>
      </c>
      <c r="AF176" s="181">
        <v>0</v>
      </c>
      <c r="AG176" s="180">
        <v>3</v>
      </c>
      <c r="AH176" s="139">
        <f t="shared" si="43"/>
        <v>3</v>
      </c>
      <c r="AI176" s="144" t="s">
        <v>686</v>
      </c>
      <c r="AJ176" s="141">
        <v>750</v>
      </c>
      <c r="AK176" s="141">
        <v>7800</v>
      </c>
      <c r="AL176" s="142">
        <f t="shared" si="44"/>
        <v>8550</v>
      </c>
      <c r="AM176" s="51">
        <f t="shared" si="45"/>
        <v>0</v>
      </c>
      <c r="AN176" s="51">
        <f t="shared" si="46"/>
        <v>0</v>
      </c>
      <c r="AO176" s="51">
        <f t="shared" si="47"/>
        <v>0</v>
      </c>
      <c r="AP176" s="51">
        <f t="shared" si="48"/>
        <v>0</v>
      </c>
      <c r="AQ176" s="51">
        <f t="shared" si="49"/>
        <v>0</v>
      </c>
      <c r="AR176" s="51">
        <f t="shared" si="50"/>
        <v>0</v>
      </c>
      <c r="AS176" s="51">
        <f t="shared" si="51"/>
        <v>42750</v>
      </c>
      <c r="AT176" s="51">
        <f t="shared" si="59"/>
        <v>42750</v>
      </c>
      <c r="AU176" s="54">
        <f t="shared" si="52"/>
        <v>0</v>
      </c>
      <c r="AV176" s="54">
        <f t="shared" si="53"/>
        <v>0</v>
      </c>
      <c r="AW176" s="54">
        <f t="shared" si="54"/>
        <v>0</v>
      </c>
      <c r="AX176" s="54">
        <f t="shared" si="55"/>
        <v>0</v>
      </c>
      <c r="AY176" s="54">
        <f t="shared" si="56"/>
        <v>0</v>
      </c>
      <c r="AZ176" s="54">
        <f t="shared" si="57"/>
        <v>25650</v>
      </c>
      <c r="BA176" s="54">
        <f t="shared" si="58"/>
        <v>25650</v>
      </c>
      <c r="BB176" s="128"/>
    </row>
    <row r="177" spans="1:54" s="199" customFormat="1" ht="28.5" customHeight="1">
      <c r="A177" s="184"/>
      <c r="B177" s="146" t="s">
        <v>588</v>
      </c>
      <c r="C177" s="185"/>
      <c r="D177" s="186"/>
      <c r="E177" s="187"/>
      <c r="F177" s="188"/>
      <c r="G177" s="188"/>
      <c r="H177" s="188"/>
      <c r="I177" s="188"/>
      <c r="J177" s="188"/>
      <c r="K177" s="188"/>
      <c r="L177" s="188">
        <f t="shared" si="40"/>
        <v>0</v>
      </c>
      <c r="M177" s="189"/>
      <c r="N177" s="189"/>
      <c r="O177" s="189"/>
      <c r="P177" s="189"/>
      <c r="Q177" s="189"/>
      <c r="R177" s="189"/>
      <c r="S177" s="189">
        <f t="shared" si="41"/>
        <v>0</v>
      </c>
      <c r="T177" s="190">
        <v>0</v>
      </c>
      <c r="U177" s="190">
        <v>0</v>
      </c>
      <c r="V177" s="191"/>
      <c r="W177" s="191"/>
      <c r="X177" s="191"/>
      <c r="Y177" s="192"/>
      <c r="Z177" s="191"/>
      <c r="AA177" s="193"/>
      <c r="AB177" s="194"/>
      <c r="AC177" s="194"/>
      <c r="AD177" s="194"/>
      <c r="AE177" s="194"/>
      <c r="AF177" s="195"/>
      <c r="AG177" s="194"/>
      <c r="AH177" s="196"/>
      <c r="AI177" s="197"/>
      <c r="AJ177" s="162"/>
      <c r="AK177" s="162"/>
      <c r="AL177" s="198"/>
      <c r="AM177" s="164">
        <f>SUBTOTAL(9,AM145:AM176)</f>
        <v>2055</v>
      </c>
      <c r="AN177" s="164">
        <f t="shared" ref="AN177:AT177" si="64">SUBTOTAL(9,AN145:AN176)</f>
        <v>24686.55</v>
      </c>
      <c r="AO177" s="164">
        <f t="shared" si="64"/>
        <v>7799.6</v>
      </c>
      <c r="AP177" s="164">
        <f t="shared" si="64"/>
        <v>20674.849999999999</v>
      </c>
      <c r="AQ177" s="164">
        <f t="shared" si="64"/>
        <v>7234.55</v>
      </c>
      <c r="AR177" s="164">
        <f t="shared" si="64"/>
        <v>14447.400000000001</v>
      </c>
      <c r="AS177" s="164">
        <f t="shared" si="64"/>
        <v>45192</v>
      </c>
      <c r="AT177" s="164">
        <f t="shared" si="64"/>
        <v>488131.94999999995</v>
      </c>
      <c r="AU177" s="165">
        <f>SUBTOTAL(9,AU145:AU176)</f>
        <v>17287.3</v>
      </c>
      <c r="AV177" s="165">
        <f t="shared" ref="AV177:BA177" si="65">SUBTOTAL(9,AV145:AV176)</f>
        <v>7601.1</v>
      </c>
      <c r="AW177" s="165">
        <f t="shared" si="65"/>
        <v>19024.8</v>
      </c>
      <c r="AX177" s="165">
        <f t="shared" si="65"/>
        <v>9519.4500000000007</v>
      </c>
      <c r="AY177" s="165">
        <f t="shared" si="65"/>
        <v>11772.85</v>
      </c>
      <c r="AZ177" s="165">
        <f t="shared" si="65"/>
        <v>25650</v>
      </c>
      <c r="BA177" s="165">
        <f t="shared" si="65"/>
        <v>237612.5</v>
      </c>
      <c r="BB177" s="166"/>
    </row>
    <row r="178" spans="1:54">
      <c r="A178" s="170"/>
      <c r="B178" s="171"/>
      <c r="C178" s="172"/>
      <c r="D178" s="173"/>
      <c r="E178" s="174"/>
      <c r="F178" s="175"/>
      <c r="G178" s="175"/>
      <c r="H178" s="175"/>
      <c r="I178" s="175"/>
      <c r="J178" s="175"/>
      <c r="K178" s="175"/>
      <c r="L178" s="175"/>
      <c r="M178" s="176"/>
      <c r="N178" s="176"/>
      <c r="O178" s="176"/>
      <c r="P178" s="176"/>
      <c r="Q178" s="176"/>
      <c r="R178" s="176"/>
      <c r="S178" s="176"/>
      <c r="T178" s="177"/>
      <c r="U178" s="177"/>
      <c r="V178" s="178"/>
      <c r="W178" s="178"/>
      <c r="X178" s="178"/>
      <c r="Y178" s="179"/>
      <c r="Z178" s="178"/>
      <c r="AA178" s="136"/>
      <c r="AB178" s="180"/>
      <c r="AC178" s="180"/>
      <c r="AD178" s="180"/>
      <c r="AE178" s="180"/>
      <c r="AF178" s="181"/>
      <c r="AG178" s="180"/>
      <c r="AH178" s="139"/>
      <c r="AI178" s="144"/>
      <c r="AJ178" s="141"/>
      <c r="AK178" s="141"/>
      <c r="AL178" s="142"/>
      <c r="AM178" s="51"/>
      <c r="AN178" s="51"/>
      <c r="AO178" s="51"/>
      <c r="AP178" s="51"/>
      <c r="AQ178" s="51"/>
      <c r="AR178" s="51"/>
      <c r="AS178" s="51"/>
      <c r="AT178" s="51"/>
      <c r="AU178" s="54"/>
      <c r="AV178" s="54"/>
      <c r="AW178" s="54"/>
      <c r="AX178" s="54"/>
      <c r="AY178" s="54"/>
      <c r="AZ178" s="54"/>
      <c r="BA178" s="54"/>
      <c r="BB178" s="128"/>
    </row>
    <row r="179" spans="1:54" s="199" customFormat="1" ht="28.5" customHeight="1" thickBot="1">
      <c r="A179" s="184"/>
      <c r="B179" s="201"/>
      <c r="C179" s="185"/>
      <c r="D179" s="186"/>
      <c r="E179" s="187"/>
      <c r="F179" s="188"/>
      <c r="G179" s="188"/>
      <c r="H179" s="188"/>
      <c r="I179" s="188"/>
      <c r="J179" s="188"/>
      <c r="K179" s="188"/>
      <c r="L179" s="188">
        <f t="shared" si="40"/>
        <v>0</v>
      </c>
      <c r="M179" s="189"/>
      <c r="N179" s="189"/>
      <c r="O179" s="189"/>
      <c r="P179" s="189"/>
      <c r="Q179" s="189"/>
      <c r="R179" s="189"/>
      <c r="S179" s="189">
        <f t="shared" si="41"/>
        <v>0</v>
      </c>
      <c r="T179" s="190">
        <v>0</v>
      </c>
      <c r="U179" s="190">
        <v>0</v>
      </c>
      <c r="V179" s="191"/>
      <c r="W179" s="191"/>
      <c r="X179" s="191"/>
      <c r="Y179" s="192"/>
      <c r="Z179" s="191"/>
      <c r="AA179" s="193"/>
      <c r="AB179" s="194"/>
      <c r="AC179" s="194"/>
      <c r="AD179" s="194"/>
      <c r="AE179" s="194"/>
      <c r="AF179" s="195"/>
      <c r="AG179" s="194"/>
      <c r="AH179" s="196"/>
      <c r="AI179" s="197"/>
      <c r="AJ179" s="162"/>
      <c r="AK179" s="202"/>
      <c r="AL179" s="203" t="s">
        <v>715</v>
      </c>
      <c r="AM179" s="204">
        <f>SUBTOTAL(9,AM13:AM178)</f>
        <v>8392.5</v>
      </c>
      <c r="AN179" s="204">
        <f t="shared" ref="AN179:AT179" si="66">SUBTOTAL(9,AN13:AN178)</f>
        <v>1400959.1603784405</v>
      </c>
      <c r="AO179" s="204">
        <f t="shared" si="66"/>
        <v>1128142.3353784406</v>
      </c>
      <c r="AP179" s="204">
        <f t="shared" si="66"/>
        <v>1271220.5739105507</v>
      </c>
      <c r="AQ179" s="204">
        <f t="shared" si="66"/>
        <v>1156355.5250573396</v>
      </c>
      <c r="AR179" s="204">
        <f t="shared" si="66"/>
        <v>1159808.5154816515</v>
      </c>
      <c r="AS179" s="204">
        <f t="shared" si="66"/>
        <v>2569059.6</v>
      </c>
      <c r="AT179" s="204">
        <f t="shared" si="66"/>
        <v>9059980.2102064192</v>
      </c>
      <c r="AU179" s="205">
        <f>SUBTOTAL(9,AU13:AU178)</f>
        <v>1170305.8492591742</v>
      </c>
      <c r="AV179" s="205">
        <f t="shared" ref="AV179:BA179" si="67">SUBTOTAL(9,AV13:AV178)</f>
        <v>1225485.3655280967</v>
      </c>
      <c r="AW179" s="205">
        <f t="shared" si="67"/>
        <v>1297942.7578199541</v>
      </c>
      <c r="AX179" s="205">
        <f t="shared" si="67"/>
        <v>1224539.4805894499</v>
      </c>
      <c r="AY179" s="205">
        <f t="shared" si="67"/>
        <v>1123176.8633027526</v>
      </c>
      <c r="AZ179" s="205">
        <f t="shared" si="67"/>
        <v>510835.17500000005</v>
      </c>
      <c r="BA179" s="205">
        <f t="shared" si="67"/>
        <v>6699042.4914994277</v>
      </c>
      <c r="BB179" s="166"/>
    </row>
    <row r="180" spans="1:54" ht="12.6" thickTop="1">
      <c r="A180" s="170"/>
      <c r="B180" s="171"/>
      <c r="C180" s="172"/>
      <c r="D180" s="173"/>
      <c r="E180" s="174"/>
      <c r="F180" s="175"/>
      <c r="G180" s="175"/>
      <c r="H180" s="175"/>
      <c r="I180" s="175"/>
      <c r="J180" s="175"/>
      <c r="K180" s="175"/>
      <c r="L180" s="175"/>
      <c r="M180" s="176"/>
      <c r="N180" s="176"/>
      <c r="O180" s="176"/>
      <c r="P180" s="176"/>
      <c r="Q180" s="176"/>
      <c r="R180" s="176"/>
      <c r="S180" s="176"/>
      <c r="T180" s="177"/>
      <c r="U180" s="177"/>
      <c r="V180" s="178"/>
      <c r="W180" s="178"/>
      <c r="X180" s="178"/>
      <c r="Y180" s="179"/>
      <c r="Z180" s="178"/>
      <c r="AA180" s="136"/>
      <c r="AB180" s="180"/>
      <c r="AC180" s="180"/>
      <c r="AD180" s="180"/>
      <c r="AE180" s="180"/>
      <c r="AF180" s="181"/>
      <c r="AG180" s="180"/>
      <c r="AH180" s="139"/>
      <c r="AI180" s="144"/>
      <c r="AJ180" s="141"/>
      <c r="AK180" s="141"/>
      <c r="AL180" s="142"/>
      <c r="AM180" s="51"/>
      <c r="AN180" s="51"/>
      <c r="AO180" s="51"/>
      <c r="AP180" s="51"/>
      <c r="AQ180" s="51"/>
      <c r="AR180" s="51"/>
      <c r="AS180" s="51"/>
      <c r="AT180" s="51"/>
      <c r="AU180" s="54"/>
      <c r="AV180" s="54"/>
      <c r="AW180" s="54"/>
      <c r="AX180" s="54"/>
      <c r="AY180" s="54"/>
      <c r="AZ180" s="54"/>
      <c r="BA180" s="54"/>
      <c r="BB180" s="128"/>
    </row>
    <row r="181" spans="1:54">
      <c r="A181" s="170"/>
      <c r="B181" s="171"/>
      <c r="C181" s="172"/>
      <c r="D181" s="173"/>
      <c r="E181" s="174"/>
      <c r="F181" s="175"/>
      <c r="G181" s="175"/>
      <c r="H181" s="175"/>
      <c r="I181" s="175"/>
      <c r="J181" s="175"/>
      <c r="K181" s="175"/>
      <c r="L181" s="175"/>
      <c r="M181" s="176"/>
      <c r="N181" s="176"/>
      <c r="O181" s="176"/>
      <c r="P181" s="176"/>
      <c r="Q181" s="176"/>
      <c r="R181" s="176"/>
      <c r="S181" s="176"/>
      <c r="T181" s="177"/>
      <c r="U181" s="177"/>
      <c r="V181" s="178"/>
      <c r="W181" s="178"/>
      <c r="X181" s="178"/>
      <c r="Y181" s="179"/>
      <c r="Z181" s="178"/>
      <c r="AA181" s="136"/>
      <c r="AB181" s="180"/>
      <c r="AC181" s="180"/>
      <c r="AD181" s="180"/>
      <c r="AE181" s="180"/>
      <c r="AF181" s="181"/>
      <c r="AG181" s="180"/>
      <c r="AH181" s="139"/>
      <c r="AI181" s="144"/>
      <c r="AJ181" s="141"/>
      <c r="AK181" s="141"/>
      <c r="AL181" s="142"/>
      <c r="AM181" s="51"/>
      <c r="AN181" s="51"/>
      <c r="AO181" s="51"/>
      <c r="AP181" s="51"/>
      <c r="AQ181" s="51"/>
      <c r="AR181" s="51"/>
      <c r="AS181" s="51"/>
      <c r="AT181" s="51"/>
      <c r="AU181" s="54"/>
      <c r="AV181" s="54"/>
      <c r="AW181" s="54"/>
      <c r="AX181" s="54"/>
      <c r="AY181" s="54"/>
      <c r="AZ181" s="54"/>
      <c r="BA181" s="54"/>
      <c r="BB181" s="128"/>
    </row>
    <row r="182" spans="1:54">
      <c r="A182" s="170"/>
      <c r="B182" s="171"/>
      <c r="C182" s="172"/>
      <c r="D182" s="173"/>
      <c r="E182" s="174"/>
      <c r="F182" s="175"/>
      <c r="G182" s="175"/>
      <c r="H182" s="175"/>
      <c r="I182" s="175"/>
      <c r="J182" s="175"/>
      <c r="K182" s="175"/>
      <c r="L182" s="175"/>
      <c r="M182" s="176"/>
      <c r="N182" s="176"/>
      <c r="O182" s="176"/>
      <c r="P182" s="176"/>
      <c r="Q182" s="176"/>
      <c r="R182" s="176"/>
      <c r="S182" s="176"/>
      <c r="T182" s="177"/>
      <c r="U182" s="177"/>
      <c r="V182" s="178"/>
      <c r="W182" s="178"/>
      <c r="X182" s="178"/>
      <c r="Y182" s="179"/>
      <c r="Z182" s="178"/>
      <c r="AA182" s="136"/>
      <c r="AB182" s="180"/>
      <c r="AC182" s="180"/>
      <c r="AD182" s="180"/>
      <c r="AE182" s="180"/>
      <c r="AF182" s="181"/>
      <c r="AG182" s="180"/>
      <c r="AH182" s="139"/>
      <c r="AI182" s="144"/>
      <c r="AJ182" s="141"/>
      <c r="AK182" s="141"/>
      <c r="AL182" s="142"/>
      <c r="AM182" s="51"/>
      <c r="AN182" s="51"/>
      <c r="AO182" s="51"/>
      <c r="AP182" s="51"/>
      <c r="AQ182" s="51"/>
      <c r="AR182" s="51"/>
      <c r="AS182" s="51"/>
      <c r="AT182" s="51"/>
      <c r="AU182" s="54"/>
      <c r="AV182" s="54"/>
      <c r="AW182" s="54"/>
      <c r="AX182" s="54"/>
      <c r="AY182" s="54"/>
      <c r="AZ182" s="54"/>
      <c r="BA182" s="54"/>
      <c r="BB182" s="128"/>
    </row>
  </sheetData>
  <mergeCells count="18">
    <mergeCell ref="AM11:AT11"/>
    <mergeCell ref="AU11:BA11"/>
    <mergeCell ref="A8:BB8"/>
    <mergeCell ref="A10:A12"/>
    <mergeCell ref="B10:B12"/>
    <mergeCell ref="C10:C12"/>
    <mergeCell ref="D10:D12"/>
    <mergeCell ref="E10:S10"/>
    <mergeCell ref="T10:AH10"/>
    <mergeCell ref="AI10:AI12"/>
    <mergeCell ref="AJ10:AL10"/>
    <mergeCell ref="AM10:AT10"/>
    <mergeCell ref="AU10:BA10"/>
    <mergeCell ref="BB10:BB12"/>
    <mergeCell ref="E11:L11"/>
    <mergeCell ref="M11:S11"/>
    <mergeCell ref="T11:AA11"/>
    <mergeCell ref="AB11:AH11"/>
  </mergeCells>
  <pageMargins left="0.70866141732283472" right="0.70866141732283472" top="0.74803149606299213" bottom="0.74803149606299213" header="0.31496062992125984" footer="0.31496062992125984"/>
  <pageSetup paperSize="9" scale="2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72B2-B178-497B-8640-8FBA25384243}">
  <dimension ref="A1:BE38"/>
  <sheetViews>
    <sheetView view="pageBreakPreview" zoomScale="85" zoomScaleNormal="100" zoomScaleSheetLayoutView="85" workbookViewId="0">
      <pane xSplit="2" ySplit="12" topLeftCell="C23" activePane="bottomRight" state="frozen"/>
      <selection pane="bottomRight" activeCell="AI16" sqref="AI16"/>
      <selection pane="bottomLeft" activeCell="V173" sqref="V173"/>
      <selection pane="topRight" activeCell="V173" sqref="V173"/>
    </sheetView>
  </sheetViews>
  <sheetFormatPr defaultColWidth="8.83203125" defaultRowHeight="11.45" outlineLevelCol="1"/>
  <cols>
    <col min="1" max="1" width="8.83203125" style="206"/>
    <col min="2" max="2" width="77.6640625" style="206" customWidth="1"/>
    <col min="3" max="4" width="13.1640625" style="206" customWidth="1"/>
    <col min="5" max="11" width="9.33203125" style="206" hidden="1" customWidth="1" outlineLevel="1"/>
    <col min="12" max="12" width="0" style="206" hidden="1" customWidth="1" collapsed="1"/>
    <col min="13" max="18" width="9.33203125" style="206" hidden="1" customWidth="1" outlineLevel="1"/>
    <col min="19" max="19" width="0" style="206" hidden="1" customWidth="1" collapsed="1"/>
    <col min="20" max="26" width="9.33203125" style="206" hidden="1" customWidth="1" outlineLevel="1"/>
    <col min="27" max="27" width="8.83203125" style="206" collapsed="1"/>
    <col min="28" max="33" width="9.33203125" style="206" hidden="1" customWidth="1" outlineLevel="1"/>
    <col min="34" max="34" width="8.83203125" style="206" collapsed="1"/>
    <col min="35" max="38" width="8.83203125" style="206"/>
    <col min="39" max="45" width="9.33203125" style="206" hidden="1" customWidth="1" outlineLevel="1"/>
    <col min="46" max="46" width="13.1640625" style="206" customWidth="1" collapsed="1"/>
    <col min="47" max="52" width="9.33203125" style="206" hidden="1" customWidth="1" outlineLevel="1"/>
    <col min="53" max="53" width="13.5" style="206" customWidth="1" collapsed="1"/>
    <col min="54" max="16384" width="8.83203125" style="206"/>
  </cols>
  <sheetData>
    <row r="1" spans="1:56" s="67" customFormat="1">
      <c r="A1" s="57"/>
      <c r="B1" s="58"/>
      <c r="C1" s="59"/>
      <c r="D1" s="59"/>
      <c r="E1" s="59"/>
      <c r="F1" s="60"/>
      <c r="G1" s="60"/>
      <c r="H1" s="60"/>
      <c r="I1" s="60"/>
      <c r="J1" s="60"/>
      <c r="K1" s="60"/>
      <c r="L1" s="61"/>
      <c r="M1" s="60"/>
      <c r="N1" s="60"/>
      <c r="O1" s="60"/>
      <c r="P1" s="60"/>
      <c r="Q1" s="60"/>
      <c r="R1" s="60"/>
      <c r="S1" s="61"/>
      <c r="T1" s="62"/>
      <c r="U1" s="62"/>
      <c r="V1" s="62"/>
      <c r="W1" s="62"/>
      <c r="X1" s="62"/>
      <c r="Y1" s="62"/>
      <c r="Z1" s="62"/>
      <c r="AA1" s="63"/>
      <c r="AB1" s="62"/>
      <c r="AC1" s="62"/>
      <c r="AD1" s="62"/>
      <c r="AE1" s="62"/>
      <c r="AF1" s="62"/>
      <c r="AG1" s="62"/>
      <c r="AH1" s="63"/>
      <c r="AI1" s="57"/>
      <c r="AJ1" s="61"/>
      <c r="AK1" s="61"/>
      <c r="AL1" s="64"/>
      <c r="AM1" s="65"/>
      <c r="AN1" s="65"/>
      <c r="AO1" s="65"/>
      <c r="AP1" s="48"/>
      <c r="AQ1" s="65"/>
      <c r="AR1" s="65"/>
      <c r="AS1" s="65"/>
      <c r="AT1" s="48"/>
      <c r="AU1" s="65"/>
      <c r="AV1" s="65"/>
      <c r="AW1" s="48"/>
      <c r="AX1" s="65"/>
      <c r="AY1" s="65"/>
      <c r="AZ1" s="65"/>
      <c r="BA1" s="48"/>
      <c r="BB1" s="66"/>
    </row>
    <row r="2" spans="1:56" s="75" customFormat="1">
      <c r="A2" s="68" t="s">
        <v>513</v>
      </c>
      <c r="B2" s="69"/>
      <c r="C2" s="69"/>
      <c r="D2" s="69"/>
      <c r="E2" s="69"/>
      <c r="F2" s="70"/>
      <c r="G2" s="70"/>
      <c r="H2" s="70"/>
      <c r="I2" s="70"/>
      <c r="J2" s="70"/>
      <c r="K2" s="70"/>
      <c r="L2" s="71"/>
      <c r="M2" s="70"/>
      <c r="N2" s="70"/>
      <c r="O2" s="70"/>
      <c r="P2" s="70"/>
      <c r="Q2" s="70"/>
      <c r="R2" s="70"/>
      <c r="S2" s="71"/>
      <c r="T2" s="70"/>
      <c r="U2" s="70"/>
      <c r="V2" s="70"/>
      <c r="W2" s="70"/>
      <c r="X2" s="70"/>
      <c r="Y2" s="70"/>
      <c r="Z2" s="70"/>
      <c r="AA2" s="72"/>
      <c r="AB2" s="70"/>
      <c r="AC2" s="70"/>
      <c r="AD2" s="70"/>
      <c r="AE2" s="70"/>
      <c r="AF2" s="70"/>
      <c r="AG2" s="70"/>
      <c r="AH2" s="72"/>
      <c r="AI2" s="73"/>
      <c r="AJ2" s="71"/>
      <c r="AK2" s="71"/>
      <c r="AL2" s="74"/>
      <c r="AM2" s="71"/>
      <c r="AN2" s="71"/>
      <c r="AO2" s="71"/>
      <c r="AP2" s="49"/>
      <c r="AQ2" s="71"/>
      <c r="AR2" s="71"/>
      <c r="AS2" s="71"/>
      <c r="AT2" s="49"/>
      <c r="AU2" s="71"/>
      <c r="AV2" s="71"/>
      <c r="AW2" s="49"/>
      <c r="AX2" s="71"/>
      <c r="AY2" s="71"/>
      <c r="AZ2" s="71"/>
      <c r="BA2" s="49"/>
      <c r="BB2" s="66"/>
    </row>
    <row r="3" spans="1:56" s="84" customFormat="1">
      <c r="A3" s="76" t="str">
        <f>[41]Summary!A2</f>
        <v>CHN, Shanghai Campus Building 1 RF Project</v>
      </c>
      <c r="B3" s="77"/>
      <c r="C3" s="78"/>
      <c r="D3" s="78"/>
      <c r="E3" s="78"/>
      <c r="F3" s="79"/>
      <c r="G3" s="79"/>
      <c r="H3" s="79"/>
      <c r="I3" s="79"/>
      <c r="J3" s="79"/>
      <c r="K3" s="79"/>
      <c r="L3" s="80"/>
      <c r="M3" s="79"/>
      <c r="N3" s="79"/>
      <c r="O3" s="79"/>
      <c r="P3" s="79"/>
      <c r="Q3" s="79"/>
      <c r="R3" s="79"/>
      <c r="S3" s="80"/>
      <c r="T3" s="79"/>
      <c r="U3" s="79"/>
      <c r="V3" s="79"/>
      <c r="W3" s="79"/>
      <c r="X3" s="79"/>
      <c r="Y3" s="79"/>
      <c r="Z3" s="79"/>
      <c r="AA3" s="81"/>
      <c r="AB3" s="79"/>
      <c r="AC3" s="79"/>
      <c r="AD3" s="79"/>
      <c r="AE3" s="79"/>
      <c r="AF3" s="79"/>
      <c r="AG3" s="79"/>
      <c r="AH3" s="81"/>
      <c r="AI3" s="77"/>
      <c r="AJ3" s="80"/>
      <c r="AK3" s="80"/>
      <c r="AL3" s="82"/>
      <c r="AM3" s="80"/>
      <c r="AN3" s="80"/>
      <c r="AO3" s="80"/>
      <c r="AP3" s="50"/>
      <c r="AQ3" s="80"/>
      <c r="AR3" s="80"/>
      <c r="AS3" s="80"/>
      <c r="AT3" s="50"/>
      <c r="AU3" s="80"/>
      <c r="AV3" s="80"/>
      <c r="AW3" s="50"/>
      <c r="AX3" s="80"/>
      <c r="AY3" s="80"/>
      <c r="AZ3" s="80"/>
      <c r="BA3" s="50"/>
      <c r="BB3" s="83"/>
    </row>
    <row r="4" spans="1:56" s="67" customFormat="1">
      <c r="A4" s="85" t="str">
        <f>[41]Summary!A4</f>
        <v>Issue Date: 2026/08/04</v>
      </c>
      <c r="B4" s="78"/>
      <c r="C4" s="78"/>
      <c r="D4" s="78"/>
      <c r="E4" s="78"/>
      <c r="F4" s="79"/>
      <c r="G4" s="79"/>
      <c r="H4" s="79"/>
      <c r="I4" s="79"/>
      <c r="J4" s="79"/>
      <c r="K4" s="79"/>
      <c r="L4" s="80"/>
      <c r="M4" s="79"/>
      <c r="N4" s="79"/>
      <c r="O4" s="79"/>
      <c r="P4" s="79"/>
      <c r="Q4" s="79"/>
      <c r="R4" s="79"/>
      <c r="S4" s="80"/>
      <c r="T4" s="79"/>
      <c r="U4" s="79"/>
      <c r="V4" s="79"/>
      <c r="W4" s="79"/>
      <c r="X4" s="79"/>
      <c r="Y4" s="79"/>
      <c r="Z4" s="79"/>
      <c r="AA4" s="81"/>
      <c r="AB4" s="79"/>
      <c r="AC4" s="79"/>
      <c r="AD4" s="79"/>
      <c r="AE4" s="79"/>
      <c r="AF4" s="79"/>
      <c r="AG4" s="79"/>
      <c r="AH4" s="81"/>
      <c r="AI4" s="77"/>
      <c r="AJ4" s="80"/>
      <c r="AK4" s="80"/>
      <c r="AL4" s="82"/>
      <c r="AM4" s="80"/>
      <c r="AN4" s="80"/>
      <c r="AO4" s="80"/>
      <c r="AP4" s="50"/>
      <c r="AQ4" s="80"/>
      <c r="AR4" s="80"/>
      <c r="AS4" s="80"/>
      <c r="AT4" s="50"/>
      <c r="AU4" s="80"/>
      <c r="AV4" s="80"/>
      <c r="AW4" s="50"/>
      <c r="AX4" s="80"/>
      <c r="AY4" s="80"/>
      <c r="AZ4" s="80"/>
      <c r="BA4" s="50"/>
      <c r="BB4" s="66"/>
    </row>
    <row r="5" spans="1:56" s="67" customFormat="1">
      <c r="A5" s="85"/>
      <c r="B5" s="69"/>
      <c r="C5" s="69"/>
      <c r="D5" s="69"/>
      <c r="E5" s="69"/>
      <c r="F5" s="70"/>
      <c r="G5" s="70"/>
      <c r="H5" s="77"/>
      <c r="I5" s="77"/>
      <c r="J5" s="77"/>
      <c r="K5" s="77"/>
      <c r="L5" s="71"/>
      <c r="M5" s="70"/>
      <c r="N5" s="70"/>
      <c r="O5" s="77"/>
      <c r="P5" s="77"/>
      <c r="Q5" s="77"/>
      <c r="R5" s="77"/>
      <c r="S5" s="71"/>
      <c r="T5" s="70"/>
      <c r="U5" s="70"/>
      <c r="V5" s="70"/>
      <c r="W5" s="70"/>
      <c r="X5" s="70"/>
      <c r="Y5" s="70"/>
      <c r="Z5" s="70"/>
      <c r="AA5" s="72"/>
      <c r="AB5" s="70"/>
      <c r="AC5" s="70"/>
      <c r="AD5" s="70"/>
      <c r="AE5" s="70"/>
      <c r="AF5" s="70"/>
      <c r="AG5" s="70"/>
      <c r="AH5" s="72"/>
      <c r="AI5" s="73"/>
      <c r="AJ5" s="71"/>
      <c r="AK5" s="71"/>
      <c r="AL5" s="74"/>
      <c r="AM5" s="71"/>
      <c r="AN5" s="71"/>
      <c r="AO5" s="71"/>
      <c r="AP5" s="49"/>
      <c r="AQ5" s="71"/>
      <c r="AR5" s="71"/>
      <c r="AS5" s="71"/>
      <c r="AT5" s="49"/>
      <c r="AU5" s="71"/>
      <c r="AV5" s="71"/>
      <c r="AW5" s="49"/>
      <c r="AX5" s="71"/>
      <c r="AY5" s="71"/>
      <c r="AZ5" s="71"/>
      <c r="BA5" s="49"/>
      <c r="BB5" s="66"/>
    </row>
    <row r="6" spans="1:56" s="67" customFormat="1">
      <c r="A6" s="68" t="s">
        <v>716</v>
      </c>
      <c r="B6" s="69"/>
      <c r="C6" s="69"/>
      <c r="D6" s="69"/>
      <c r="E6" s="69"/>
      <c r="F6" s="70"/>
      <c r="G6" s="70"/>
      <c r="H6" s="70"/>
      <c r="I6" s="70"/>
      <c r="J6" s="70"/>
      <c r="K6" s="70"/>
      <c r="L6" s="71"/>
      <c r="M6" s="70"/>
      <c r="N6" s="70"/>
      <c r="O6" s="70"/>
      <c r="P6" s="70"/>
      <c r="Q6" s="70"/>
      <c r="R6" s="70"/>
      <c r="S6" s="71"/>
      <c r="T6" s="70"/>
      <c r="U6" s="70"/>
      <c r="V6" s="70"/>
      <c r="W6" s="70"/>
      <c r="X6" s="70"/>
      <c r="Y6" s="70"/>
      <c r="Z6" s="70"/>
      <c r="AA6" s="72"/>
      <c r="AB6" s="70"/>
      <c r="AC6" s="70"/>
      <c r="AD6" s="70"/>
      <c r="AE6" s="70"/>
      <c r="AF6" s="70"/>
      <c r="AG6" s="70"/>
      <c r="AH6" s="72"/>
      <c r="AI6" s="73"/>
      <c r="AJ6" s="71"/>
      <c r="AK6" s="71"/>
      <c r="AL6" s="74"/>
      <c r="AM6" s="71"/>
      <c r="AN6" s="71"/>
      <c r="AO6" s="71"/>
      <c r="AP6" s="49"/>
      <c r="AQ6" s="71"/>
      <c r="AR6" s="71"/>
      <c r="AS6" s="71"/>
      <c r="AT6" s="49"/>
      <c r="AU6" s="71"/>
      <c r="AV6" s="71"/>
      <c r="AW6" s="49"/>
      <c r="AX6" s="71"/>
      <c r="AY6" s="71"/>
      <c r="AZ6" s="71"/>
      <c r="BA6" s="49"/>
      <c r="BB6" s="66"/>
    </row>
    <row r="7" spans="1:56" s="67" customFormat="1">
      <c r="A7" s="73"/>
      <c r="B7" s="69"/>
      <c r="C7" s="69"/>
      <c r="D7" s="69"/>
      <c r="E7" s="69"/>
      <c r="F7" s="70"/>
      <c r="G7" s="70"/>
      <c r="H7" s="70"/>
      <c r="I7" s="70"/>
      <c r="J7" s="70"/>
      <c r="K7" s="70"/>
      <c r="L7" s="71"/>
      <c r="M7" s="70"/>
      <c r="N7" s="70"/>
      <c r="O7" s="70"/>
      <c r="P7" s="70"/>
      <c r="Q7" s="70"/>
      <c r="R7" s="70"/>
      <c r="S7" s="71"/>
      <c r="T7" s="70"/>
      <c r="U7" s="70"/>
      <c r="V7" s="70"/>
      <c r="W7" s="70"/>
      <c r="X7" s="70"/>
      <c r="Y7" s="70"/>
      <c r="Z7" s="70"/>
      <c r="AA7" s="72"/>
      <c r="AB7" s="70"/>
      <c r="AC7" s="70"/>
      <c r="AD7" s="70"/>
      <c r="AE7" s="70"/>
      <c r="AF7" s="70"/>
      <c r="AG7" s="70"/>
      <c r="AH7" s="72"/>
      <c r="AI7" s="73"/>
      <c r="AJ7" s="71"/>
      <c r="AK7" s="71"/>
      <c r="AL7" s="74"/>
      <c r="AM7" s="71"/>
      <c r="AN7" s="71"/>
      <c r="AO7" s="71"/>
      <c r="AP7" s="49"/>
      <c r="AQ7" s="71"/>
      <c r="AR7" s="71"/>
      <c r="AS7" s="71"/>
      <c r="AT7" s="49"/>
      <c r="AU7" s="71"/>
      <c r="AV7" s="71"/>
      <c r="AW7" s="49"/>
      <c r="AX7" s="71"/>
      <c r="AY7" s="71"/>
      <c r="AZ7" s="71"/>
      <c r="BA7" s="49"/>
      <c r="BB7" s="66"/>
    </row>
    <row r="8" spans="1:56" s="67" customFormat="1">
      <c r="A8" s="328" t="s">
        <v>514</v>
      </c>
      <c r="B8" s="328"/>
      <c r="C8" s="328"/>
      <c r="D8" s="328"/>
      <c r="E8" s="328"/>
      <c r="F8" s="328"/>
      <c r="G8" s="328"/>
      <c r="H8" s="328"/>
      <c r="I8" s="328"/>
      <c r="J8" s="328"/>
      <c r="K8" s="328"/>
      <c r="L8" s="328"/>
      <c r="M8" s="328"/>
      <c r="N8" s="328"/>
      <c r="O8" s="328"/>
      <c r="P8" s="328"/>
      <c r="Q8" s="328"/>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row>
    <row r="9" spans="1:56" s="67" customFormat="1">
      <c r="A9" s="87"/>
      <c r="B9" s="86"/>
      <c r="C9" s="86"/>
      <c r="D9" s="86"/>
      <c r="E9" s="86"/>
      <c r="F9" s="88"/>
      <c r="G9" s="88"/>
      <c r="H9" s="88"/>
      <c r="I9" s="88"/>
      <c r="J9" s="88"/>
      <c r="K9" s="88"/>
      <c r="L9" s="88"/>
      <c r="M9" s="88"/>
      <c r="N9" s="88"/>
      <c r="O9" s="88"/>
      <c r="P9" s="88"/>
      <c r="Q9" s="88"/>
      <c r="R9" s="88"/>
      <c r="S9" s="88"/>
      <c r="T9" s="89"/>
      <c r="U9" s="89"/>
      <c r="V9" s="89"/>
      <c r="W9" s="89"/>
      <c r="X9" s="89"/>
      <c r="Y9" s="89"/>
      <c r="Z9" s="89"/>
      <c r="AA9" s="89"/>
      <c r="AB9" s="89"/>
      <c r="AC9" s="89"/>
      <c r="AD9" s="89"/>
      <c r="AE9" s="89"/>
      <c r="AF9" s="89"/>
      <c r="AG9" s="89"/>
      <c r="AH9" s="89"/>
      <c r="AI9" s="86"/>
      <c r="AJ9" s="89"/>
      <c r="AK9" s="89"/>
      <c r="AL9" s="90"/>
      <c r="AM9" s="89"/>
      <c r="AN9" s="89"/>
      <c r="AO9" s="89"/>
      <c r="AP9" s="89"/>
      <c r="AQ9" s="89"/>
      <c r="AR9" s="89"/>
      <c r="AS9" s="89"/>
      <c r="AT9" s="89"/>
      <c r="AU9" s="89"/>
      <c r="AV9" s="89"/>
      <c r="AW9" s="89"/>
      <c r="AX9" s="89"/>
      <c r="AY9" s="89"/>
      <c r="AZ9" s="89"/>
      <c r="BA9" s="89"/>
      <c r="BB9" s="91"/>
    </row>
    <row r="10" spans="1:56" s="67" customFormat="1" ht="14.45" customHeight="1">
      <c r="A10" s="329" t="s">
        <v>515</v>
      </c>
      <c r="B10" s="329" t="s">
        <v>516</v>
      </c>
      <c r="C10" s="329" t="s">
        <v>517</v>
      </c>
      <c r="D10" s="332" t="s">
        <v>518</v>
      </c>
      <c r="E10" s="335" t="s">
        <v>519</v>
      </c>
      <c r="F10" s="335"/>
      <c r="G10" s="335"/>
      <c r="H10" s="335"/>
      <c r="I10" s="335"/>
      <c r="J10" s="335"/>
      <c r="K10" s="335"/>
      <c r="L10" s="335"/>
      <c r="M10" s="335"/>
      <c r="N10" s="335"/>
      <c r="O10" s="335"/>
      <c r="P10" s="335"/>
      <c r="Q10" s="335"/>
      <c r="R10" s="335"/>
      <c r="S10" s="335"/>
      <c r="T10" s="336" t="s">
        <v>520</v>
      </c>
      <c r="U10" s="336"/>
      <c r="V10" s="336"/>
      <c r="W10" s="336"/>
      <c r="X10" s="336"/>
      <c r="Y10" s="336"/>
      <c r="Z10" s="336"/>
      <c r="AA10" s="336"/>
      <c r="AB10" s="336"/>
      <c r="AC10" s="336"/>
      <c r="AD10" s="336"/>
      <c r="AE10" s="336"/>
      <c r="AF10" s="336"/>
      <c r="AG10" s="336"/>
      <c r="AH10" s="337"/>
      <c r="AI10" s="329" t="s">
        <v>521</v>
      </c>
      <c r="AJ10" s="338" t="s">
        <v>522</v>
      </c>
      <c r="AK10" s="339"/>
      <c r="AL10" s="340"/>
      <c r="AM10" s="341" t="s">
        <v>523</v>
      </c>
      <c r="AN10" s="342"/>
      <c r="AO10" s="342"/>
      <c r="AP10" s="342"/>
      <c r="AQ10" s="342"/>
      <c r="AR10" s="342"/>
      <c r="AS10" s="342"/>
      <c r="AT10" s="343"/>
      <c r="AU10" s="341" t="s">
        <v>523</v>
      </c>
      <c r="AV10" s="342"/>
      <c r="AW10" s="342"/>
      <c r="AX10" s="342"/>
      <c r="AY10" s="342"/>
      <c r="AZ10" s="342"/>
      <c r="BA10" s="343"/>
      <c r="BB10" s="344" t="s">
        <v>524</v>
      </c>
    </row>
    <row r="11" spans="1:56" s="67" customFormat="1" ht="14.45" customHeight="1">
      <c r="A11" s="330"/>
      <c r="B11" s="330"/>
      <c r="C11" s="330"/>
      <c r="D11" s="333"/>
      <c r="E11" s="347" t="s">
        <v>525</v>
      </c>
      <c r="F11" s="347"/>
      <c r="G11" s="347"/>
      <c r="H11" s="347"/>
      <c r="I11" s="347"/>
      <c r="J11" s="347"/>
      <c r="K11" s="347"/>
      <c r="L11" s="347"/>
      <c r="M11" s="348" t="s">
        <v>526</v>
      </c>
      <c r="N11" s="348"/>
      <c r="O11" s="348"/>
      <c r="P11" s="348"/>
      <c r="Q11" s="348"/>
      <c r="R11" s="348"/>
      <c r="S11" s="348"/>
      <c r="T11" s="349" t="s">
        <v>525</v>
      </c>
      <c r="U11" s="349"/>
      <c r="V11" s="349"/>
      <c r="W11" s="349"/>
      <c r="X11" s="349"/>
      <c r="Y11" s="349"/>
      <c r="Z11" s="349"/>
      <c r="AA11" s="350"/>
      <c r="AB11" s="351" t="s">
        <v>526</v>
      </c>
      <c r="AC11" s="352"/>
      <c r="AD11" s="352"/>
      <c r="AE11" s="352"/>
      <c r="AF11" s="352"/>
      <c r="AG11" s="352"/>
      <c r="AH11" s="353"/>
      <c r="AI11" s="330"/>
      <c r="AJ11" s="92" t="s">
        <v>527</v>
      </c>
      <c r="AK11" s="92" t="s">
        <v>528</v>
      </c>
      <c r="AL11" s="92" t="s">
        <v>507</v>
      </c>
      <c r="AM11" s="349" t="s">
        <v>525</v>
      </c>
      <c r="AN11" s="349"/>
      <c r="AO11" s="349"/>
      <c r="AP11" s="349"/>
      <c r="AQ11" s="349"/>
      <c r="AR11" s="349"/>
      <c r="AS11" s="349"/>
      <c r="AT11" s="350"/>
      <c r="AU11" s="351" t="s">
        <v>526</v>
      </c>
      <c r="AV11" s="352"/>
      <c r="AW11" s="352"/>
      <c r="AX11" s="352"/>
      <c r="AY11" s="352"/>
      <c r="AZ11" s="352"/>
      <c r="BA11" s="353"/>
      <c r="BB11" s="345"/>
    </row>
    <row r="12" spans="1:56" s="106" customFormat="1">
      <c r="A12" s="331"/>
      <c r="B12" s="331"/>
      <c r="C12" s="331"/>
      <c r="D12" s="334"/>
      <c r="E12" s="93" t="s">
        <v>529</v>
      </c>
      <c r="F12" s="94" t="s">
        <v>530</v>
      </c>
      <c r="G12" s="94" t="s">
        <v>531</v>
      </c>
      <c r="H12" s="94" t="s">
        <v>532</v>
      </c>
      <c r="I12" s="94" t="s">
        <v>533</v>
      </c>
      <c r="J12" s="94" t="s">
        <v>534</v>
      </c>
      <c r="K12" s="94" t="s">
        <v>535</v>
      </c>
      <c r="L12" s="94" t="s">
        <v>507</v>
      </c>
      <c r="M12" s="95" t="s">
        <v>530</v>
      </c>
      <c r="N12" s="95" t="s">
        <v>531</v>
      </c>
      <c r="O12" s="95" t="s">
        <v>532</v>
      </c>
      <c r="P12" s="95" t="s">
        <v>533</v>
      </c>
      <c r="Q12" s="95" t="s">
        <v>534</v>
      </c>
      <c r="R12" s="95" t="s">
        <v>535</v>
      </c>
      <c r="S12" s="95" t="s">
        <v>507</v>
      </c>
      <c r="T12" s="96" t="s">
        <v>529</v>
      </c>
      <c r="U12" s="96" t="s">
        <v>530</v>
      </c>
      <c r="V12" s="97" t="s">
        <v>531</v>
      </c>
      <c r="W12" s="97" t="s">
        <v>532</v>
      </c>
      <c r="X12" s="97" t="s">
        <v>533</v>
      </c>
      <c r="Y12" s="98" t="s">
        <v>534</v>
      </c>
      <c r="Z12" s="97" t="s">
        <v>535</v>
      </c>
      <c r="AA12" s="99" t="s">
        <v>507</v>
      </c>
      <c r="AB12" s="100" t="s">
        <v>530</v>
      </c>
      <c r="AC12" s="100" t="s">
        <v>531</v>
      </c>
      <c r="AD12" s="100" t="s">
        <v>532</v>
      </c>
      <c r="AE12" s="100" t="s">
        <v>533</v>
      </c>
      <c r="AF12" s="101" t="s">
        <v>534</v>
      </c>
      <c r="AG12" s="100" t="s">
        <v>535</v>
      </c>
      <c r="AH12" s="102" t="s">
        <v>507</v>
      </c>
      <c r="AI12" s="331"/>
      <c r="AJ12" s="103" t="s">
        <v>536</v>
      </c>
      <c r="AK12" s="103" t="s">
        <v>537</v>
      </c>
      <c r="AL12" s="92" t="s">
        <v>538</v>
      </c>
      <c r="AM12" s="97" t="s">
        <v>529</v>
      </c>
      <c r="AN12" s="97" t="s">
        <v>530</v>
      </c>
      <c r="AO12" s="97" t="s">
        <v>531</v>
      </c>
      <c r="AP12" s="104" t="s">
        <v>532</v>
      </c>
      <c r="AQ12" s="97" t="s">
        <v>533</v>
      </c>
      <c r="AR12" s="97" t="s">
        <v>534</v>
      </c>
      <c r="AS12" s="97" t="s">
        <v>535</v>
      </c>
      <c r="AT12" s="99" t="s">
        <v>507</v>
      </c>
      <c r="AU12" s="100" t="s">
        <v>530</v>
      </c>
      <c r="AV12" s="100" t="s">
        <v>531</v>
      </c>
      <c r="AW12" s="105" t="s">
        <v>532</v>
      </c>
      <c r="AX12" s="100" t="s">
        <v>533</v>
      </c>
      <c r="AY12" s="100" t="s">
        <v>534</v>
      </c>
      <c r="AZ12" s="100" t="s">
        <v>535</v>
      </c>
      <c r="BA12" s="102" t="s">
        <v>507</v>
      </c>
      <c r="BB12" s="346"/>
    </row>
    <row r="13" spans="1:56" s="130" customFormat="1" ht="24" customHeight="1">
      <c r="A13" s="107">
        <v>1</v>
      </c>
      <c r="B13" s="108" t="s">
        <v>500</v>
      </c>
      <c r="C13" s="109"/>
      <c r="D13" s="110"/>
      <c r="E13" s="111"/>
      <c r="F13" s="112"/>
      <c r="G13" s="112"/>
      <c r="H13" s="112"/>
      <c r="I13" s="112"/>
      <c r="J13" s="112"/>
      <c r="K13" s="112"/>
      <c r="L13" s="113"/>
      <c r="M13" s="114"/>
      <c r="N13" s="114"/>
      <c r="O13" s="114"/>
      <c r="P13" s="114"/>
      <c r="Q13" s="114"/>
      <c r="R13" s="114"/>
      <c r="S13" s="115"/>
      <c r="T13" s="116"/>
      <c r="U13" s="116"/>
      <c r="V13" s="117"/>
      <c r="W13" s="117"/>
      <c r="X13" s="117"/>
      <c r="Y13" s="118"/>
      <c r="Z13" s="117"/>
      <c r="AA13" s="119"/>
      <c r="AB13" s="120"/>
      <c r="AC13" s="120"/>
      <c r="AD13" s="120"/>
      <c r="AE13" s="120"/>
      <c r="AF13" s="121"/>
      <c r="AG13" s="120"/>
      <c r="AH13" s="122"/>
      <c r="AI13" s="123"/>
      <c r="AJ13" s="124"/>
      <c r="AK13" s="124"/>
      <c r="AL13" s="125"/>
      <c r="AM13" s="126"/>
      <c r="AN13" s="126"/>
      <c r="AO13" s="126"/>
      <c r="AP13" s="52"/>
      <c r="AQ13" s="126"/>
      <c r="AR13" s="126"/>
      <c r="AS13" s="126"/>
      <c r="AT13" s="52"/>
      <c r="AU13" s="127"/>
      <c r="AV13" s="127"/>
      <c r="AW13" s="55"/>
      <c r="AX13" s="127"/>
      <c r="AY13" s="127"/>
      <c r="AZ13" s="127"/>
      <c r="BA13" s="55"/>
      <c r="BB13" s="128"/>
      <c r="BC13" s="129"/>
      <c r="BD13" s="129"/>
    </row>
    <row r="14" spans="1:56" s="67" customFormat="1" ht="23.1">
      <c r="A14" s="170">
        <v>1</v>
      </c>
      <c r="B14" s="171" t="s">
        <v>717</v>
      </c>
      <c r="C14" s="172"/>
      <c r="D14" s="173"/>
      <c r="E14" s="174"/>
      <c r="F14" s="175"/>
      <c r="G14" s="175"/>
      <c r="H14" s="175"/>
      <c r="I14" s="175"/>
      <c r="J14" s="175"/>
      <c r="K14" s="175"/>
      <c r="L14" s="175">
        <f t="shared" ref="L14:L35" si="0">SUM(F14:K14)</f>
        <v>0</v>
      </c>
      <c r="M14" s="176"/>
      <c r="N14" s="176"/>
      <c r="O14" s="176"/>
      <c r="P14" s="176"/>
      <c r="Q14" s="176"/>
      <c r="R14" s="176"/>
      <c r="S14" s="176">
        <f t="shared" ref="S14:S35" si="1">SUM(M14:R14)</f>
        <v>0</v>
      </c>
      <c r="T14" s="177">
        <v>0</v>
      </c>
      <c r="U14" s="177"/>
      <c r="V14" s="178"/>
      <c r="W14" s="178"/>
      <c r="X14" s="178"/>
      <c r="Y14" s="179"/>
      <c r="Z14" s="178">
        <v>0</v>
      </c>
      <c r="AA14" s="136">
        <f t="shared" ref="AA14:AA35" si="2">SUM(T14:Z14)</f>
        <v>0</v>
      </c>
      <c r="AB14" s="180"/>
      <c r="AC14" s="180"/>
      <c r="AD14" s="180"/>
      <c r="AE14" s="180"/>
      <c r="AF14" s="181"/>
      <c r="AG14" s="180">
        <v>0</v>
      </c>
      <c r="AH14" s="139">
        <f t="shared" ref="AH14:AH35" si="3">SUM(AB14:AG14)</f>
        <v>0</v>
      </c>
      <c r="AI14" s="144"/>
      <c r="AJ14" s="141"/>
      <c r="AK14" s="141"/>
      <c r="AL14" s="142">
        <f t="shared" ref="AL14:AL35" si="4">AJ14+AK14</f>
        <v>0</v>
      </c>
      <c r="AM14" s="51">
        <f t="shared" ref="AM14:AM35" si="5">T14*AL14</f>
        <v>0</v>
      </c>
      <c r="AN14" s="51">
        <f t="shared" ref="AN14:AN35" si="6">U14*AL14</f>
        <v>0</v>
      </c>
      <c r="AO14" s="51">
        <f t="shared" ref="AO14:AO35" si="7">V14*AL14</f>
        <v>0</v>
      </c>
      <c r="AP14" s="51">
        <f t="shared" ref="AP14:AP35" si="8">W14*AL14</f>
        <v>0</v>
      </c>
      <c r="AQ14" s="51">
        <f t="shared" ref="AQ14:AQ35" si="9">X14*AL14</f>
        <v>0</v>
      </c>
      <c r="AR14" s="51">
        <f t="shared" ref="AR14:AR35" si="10">Y14*AL14</f>
        <v>0</v>
      </c>
      <c r="AS14" s="51">
        <f t="shared" ref="AS14:AS35" si="11">Z14*AL14</f>
        <v>0</v>
      </c>
      <c r="AT14" s="51">
        <f>SUM(AM14:AS14)</f>
        <v>0</v>
      </c>
      <c r="AU14" s="54">
        <f t="shared" ref="AU14:AU35" si="12">AB14*AL14</f>
        <v>0</v>
      </c>
      <c r="AV14" s="54">
        <f t="shared" ref="AV14:AV35" si="13">AC14*AL14</f>
        <v>0</v>
      </c>
      <c r="AW14" s="54">
        <f t="shared" ref="AW14:AW35" si="14">AD14*AL14</f>
        <v>0</v>
      </c>
      <c r="AX14" s="54">
        <f t="shared" ref="AX14:AX35" si="15">AE14*AL14</f>
        <v>0</v>
      </c>
      <c r="AY14" s="54">
        <f t="shared" ref="AY14:AY35" si="16">AF14*AL14</f>
        <v>0</v>
      </c>
      <c r="AZ14" s="54">
        <f t="shared" ref="AZ14:AZ35" si="17">AG14*AL14</f>
        <v>0</v>
      </c>
      <c r="BA14" s="54">
        <f t="shared" ref="BA14:BA35" si="18">SUM(AU14:AZ14)</f>
        <v>0</v>
      </c>
      <c r="BB14" s="128"/>
      <c r="BC14" s="182"/>
      <c r="BD14" s="182"/>
    </row>
    <row r="15" spans="1:56" s="67" customFormat="1" ht="34.5">
      <c r="A15" s="170">
        <v>1.01</v>
      </c>
      <c r="B15" s="171" t="s">
        <v>718</v>
      </c>
      <c r="C15" s="172"/>
      <c r="D15" s="173"/>
      <c r="E15" s="174"/>
      <c r="F15" s="175"/>
      <c r="G15" s="175"/>
      <c r="H15" s="175"/>
      <c r="I15" s="175"/>
      <c r="J15" s="175"/>
      <c r="K15" s="175"/>
      <c r="L15" s="175">
        <f t="shared" si="0"/>
        <v>0</v>
      </c>
      <c r="M15" s="176"/>
      <c r="N15" s="176"/>
      <c r="O15" s="176"/>
      <c r="P15" s="176"/>
      <c r="Q15" s="176"/>
      <c r="R15" s="176"/>
      <c r="S15" s="176">
        <f t="shared" si="1"/>
        <v>0</v>
      </c>
      <c r="T15" s="177">
        <v>0</v>
      </c>
      <c r="U15" s="177">
        <v>1</v>
      </c>
      <c r="V15" s="178">
        <v>1</v>
      </c>
      <c r="W15" s="178">
        <v>1</v>
      </c>
      <c r="X15" s="178">
        <v>1</v>
      </c>
      <c r="Y15" s="179">
        <v>1</v>
      </c>
      <c r="Z15" s="178">
        <v>0</v>
      </c>
      <c r="AA15" s="136">
        <f t="shared" si="2"/>
        <v>5</v>
      </c>
      <c r="AB15" s="180">
        <v>1</v>
      </c>
      <c r="AC15" s="180">
        <v>1</v>
      </c>
      <c r="AD15" s="180">
        <v>1</v>
      </c>
      <c r="AE15" s="180">
        <v>1</v>
      </c>
      <c r="AF15" s="181">
        <v>1</v>
      </c>
      <c r="AG15" s="180">
        <v>0</v>
      </c>
      <c r="AH15" s="139">
        <f t="shared" si="3"/>
        <v>5</v>
      </c>
      <c r="AI15" s="144" t="s">
        <v>541</v>
      </c>
      <c r="AJ15" s="141">
        <v>122500</v>
      </c>
      <c r="AK15" s="141"/>
      <c r="AL15" s="142">
        <f t="shared" si="4"/>
        <v>122500</v>
      </c>
      <c r="AM15" s="51">
        <f t="shared" si="5"/>
        <v>0</v>
      </c>
      <c r="AN15" s="51">
        <f t="shared" si="6"/>
        <v>122500</v>
      </c>
      <c r="AO15" s="51">
        <f t="shared" si="7"/>
        <v>122500</v>
      </c>
      <c r="AP15" s="51">
        <f t="shared" si="8"/>
        <v>122500</v>
      </c>
      <c r="AQ15" s="51">
        <f t="shared" si="9"/>
        <v>122500</v>
      </c>
      <c r="AR15" s="51">
        <f t="shared" si="10"/>
        <v>122500</v>
      </c>
      <c r="AS15" s="51">
        <f t="shared" si="11"/>
        <v>0</v>
      </c>
      <c r="AT15" s="51">
        <f t="shared" ref="AT15:AT35" si="19">SUM(AM15:AS15)</f>
        <v>612500</v>
      </c>
      <c r="AU15" s="54">
        <f t="shared" si="12"/>
        <v>122500</v>
      </c>
      <c r="AV15" s="54">
        <f t="shared" si="13"/>
        <v>122500</v>
      </c>
      <c r="AW15" s="54">
        <f t="shared" si="14"/>
        <v>122500</v>
      </c>
      <c r="AX15" s="54">
        <f t="shared" si="15"/>
        <v>122500</v>
      </c>
      <c r="AY15" s="54">
        <f t="shared" si="16"/>
        <v>122500</v>
      </c>
      <c r="AZ15" s="54">
        <f t="shared" si="17"/>
        <v>0</v>
      </c>
      <c r="BA15" s="54">
        <f t="shared" si="18"/>
        <v>612500</v>
      </c>
      <c r="BB15" s="128"/>
      <c r="BC15" s="182"/>
      <c r="BD15" s="182"/>
    </row>
    <row r="16" spans="1:56" s="67" customFormat="1" ht="45.95">
      <c r="A16" s="170">
        <v>1.02</v>
      </c>
      <c r="B16" s="171" t="s">
        <v>719</v>
      </c>
      <c r="C16" s="172"/>
      <c r="D16" s="173"/>
      <c r="E16" s="174"/>
      <c r="F16" s="175"/>
      <c r="G16" s="175"/>
      <c r="H16" s="175"/>
      <c r="I16" s="175"/>
      <c r="J16" s="175"/>
      <c r="K16" s="175"/>
      <c r="L16" s="175">
        <f t="shared" si="0"/>
        <v>0</v>
      </c>
      <c r="M16" s="176"/>
      <c r="N16" s="176"/>
      <c r="O16" s="176"/>
      <c r="P16" s="176"/>
      <c r="Q16" s="176"/>
      <c r="R16" s="176"/>
      <c r="S16" s="176">
        <f t="shared" si="1"/>
        <v>0</v>
      </c>
      <c r="T16" s="177">
        <v>0</v>
      </c>
      <c r="U16" s="177">
        <v>1</v>
      </c>
      <c r="V16" s="178">
        <v>1</v>
      </c>
      <c r="W16" s="178">
        <v>1</v>
      </c>
      <c r="X16" s="178">
        <v>1</v>
      </c>
      <c r="Y16" s="179">
        <v>1</v>
      </c>
      <c r="Z16" s="178">
        <v>0</v>
      </c>
      <c r="AA16" s="136">
        <f t="shared" si="2"/>
        <v>5</v>
      </c>
      <c r="AB16" s="180">
        <v>1</v>
      </c>
      <c r="AC16" s="180">
        <v>1</v>
      </c>
      <c r="AD16" s="180">
        <v>1</v>
      </c>
      <c r="AE16" s="180">
        <v>1</v>
      </c>
      <c r="AF16" s="181">
        <v>1</v>
      </c>
      <c r="AG16" s="180">
        <v>0</v>
      </c>
      <c r="AH16" s="139">
        <f t="shared" si="3"/>
        <v>5</v>
      </c>
      <c r="AI16" s="144" t="s">
        <v>541</v>
      </c>
      <c r="AJ16" s="141">
        <v>111250</v>
      </c>
      <c r="AK16" s="141"/>
      <c r="AL16" s="142">
        <f t="shared" si="4"/>
        <v>111250</v>
      </c>
      <c r="AM16" s="51">
        <f t="shared" si="5"/>
        <v>0</v>
      </c>
      <c r="AN16" s="51">
        <f t="shared" si="6"/>
        <v>111250</v>
      </c>
      <c r="AO16" s="51">
        <f t="shared" si="7"/>
        <v>111250</v>
      </c>
      <c r="AP16" s="51">
        <f t="shared" si="8"/>
        <v>111250</v>
      </c>
      <c r="AQ16" s="51">
        <f t="shared" si="9"/>
        <v>111250</v>
      </c>
      <c r="AR16" s="51">
        <f t="shared" si="10"/>
        <v>111250</v>
      </c>
      <c r="AS16" s="51">
        <f t="shared" si="11"/>
        <v>0</v>
      </c>
      <c r="AT16" s="51">
        <f t="shared" si="19"/>
        <v>556250</v>
      </c>
      <c r="AU16" s="54">
        <f t="shared" si="12"/>
        <v>111250</v>
      </c>
      <c r="AV16" s="54">
        <f t="shared" si="13"/>
        <v>111250</v>
      </c>
      <c r="AW16" s="54">
        <f t="shared" si="14"/>
        <v>111250</v>
      </c>
      <c r="AX16" s="54">
        <f t="shared" si="15"/>
        <v>111250</v>
      </c>
      <c r="AY16" s="54">
        <f t="shared" si="16"/>
        <v>111250</v>
      </c>
      <c r="AZ16" s="54">
        <f t="shared" si="17"/>
        <v>0</v>
      </c>
      <c r="BA16" s="54">
        <f t="shared" si="18"/>
        <v>556250</v>
      </c>
      <c r="BB16" s="128"/>
      <c r="BC16" s="182"/>
      <c r="BD16" s="182"/>
    </row>
    <row r="17" spans="1:57">
      <c r="A17" s="170"/>
      <c r="B17" s="171"/>
      <c r="C17" s="172"/>
      <c r="D17" s="173"/>
      <c r="E17" s="174"/>
      <c r="F17" s="175"/>
      <c r="G17" s="175"/>
      <c r="H17" s="175"/>
      <c r="I17" s="175"/>
      <c r="J17" s="175"/>
      <c r="K17" s="175"/>
      <c r="L17" s="175">
        <f t="shared" si="0"/>
        <v>0</v>
      </c>
      <c r="M17" s="176"/>
      <c r="N17" s="176"/>
      <c r="O17" s="176"/>
      <c r="P17" s="176"/>
      <c r="Q17" s="176"/>
      <c r="R17" s="176"/>
      <c r="S17" s="176">
        <f t="shared" si="1"/>
        <v>0</v>
      </c>
      <c r="T17" s="177">
        <v>0</v>
      </c>
      <c r="U17" s="177"/>
      <c r="V17" s="178"/>
      <c r="W17" s="178"/>
      <c r="X17" s="178"/>
      <c r="Y17" s="179"/>
      <c r="Z17" s="178">
        <v>0</v>
      </c>
      <c r="AA17" s="136">
        <f t="shared" si="2"/>
        <v>0</v>
      </c>
      <c r="AB17" s="180"/>
      <c r="AC17" s="180"/>
      <c r="AD17" s="180"/>
      <c r="AE17" s="180"/>
      <c r="AF17" s="181"/>
      <c r="AG17" s="180">
        <v>0</v>
      </c>
      <c r="AH17" s="139">
        <f t="shared" si="3"/>
        <v>0</v>
      </c>
      <c r="AI17" s="144"/>
      <c r="AJ17" s="141"/>
      <c r="AK17" s="141"/>
      <c r="AL17" s="142">
        <f t="shared" si="4"/>
        <v>0</v>
      </c>
      <c r="AM17" s="51">
        <f t="shared" si="5"/>
        <v>0</v>
      </c>
      <c r="AN17" s="51">
        <f t="shared" si="6"/>
        <v>0</v>
      </c>
      <c r="AO17" s="51">
        <f t="shared" si="7"/>
        <v>0</v>
      </c>
      <c r="AP17" s="51">
        <f t="shared" si="8"/>
        <v>0</v>
      </c>
      <c r="AQ17" s="51">
        <f t="shared" si="9"/>
        <v>0</v>
      </c>
      <c r="AR17" s="51">
        <f t="shared" si="10"/>
        <v>0</v>
      </c>
      <c r="AS17" s="51">
        <f t="shared" si="11"/>
        <v>0</v>
      </c>
      <c r="AT17" s="51">
        <f t="shared" si="19"/>
        <v>0</v>
      </c>
      <c r="AU17" s="54">
        <f t="shared" si="12"/>
        <v>0</v>
      </c>
      <c r="AV17" s="54">
        <f t="shared" si="13"/>
        <v>0</v>
      </c>
      <c r="AW17" s="54">
        <f t="shared" si="14"/>
        <v>0</v>
      </c>
      <c r="AX17" s="54">
        <f t="shared" si="15"/>
        <v>0</v>
      </c>
      <c r="AY17" s="54">
        <f t="shared" si="16"/>
        <v>0</v>
      </c>
      <c r="AZ17" s="54">
        <f t="shared" si="17"/>
        <v>0</v>
      </c>
      <c r="BA17" s="54">
        <f t="shared" si="18"/>
        <v>0</v>
      </c>
      <c r="BB17" s="128"/>
    </row>
    <row r="18" spans="1:57">
      <c r="A18" s="170"/>
      <c r="B18" s="171"/>
      <c r="C18" s="172"/>
      <c r="D18" s="173"/>
      <c r="E18" s="174"/>
      <c r="F18" s="175"/>
      <c r="G18" s="175"/>
      <c r="H18" s="175"/>
      <c r="I18" s="175"/>
      <c r="J18" s="175"/>
      <c r="K18" s="175"/>
      <c r="L18" s="175">
        <f t="shared" si="0"/>
        <v>0</v>
      </c>
      <c r="M18" s="176"/>
      <c r="N18" s="176"/>
      <c r="O18" s="176"/>
      <c r="P18" s="176"/>
      <c r="Q18" s="176"/>
      <c r="R18" s="176"/>
      <c r="S18" s="176">
        <f t="shared" si="1"/>
        <v>0</v>
      </c>
      <c r="T18" s="177">
        <v>0</v>
      </c>
      <c r="U18" s="177"/>
      <c r="V18" s="178"/>
      <c r="W18" s="178"/>
      <c r="X18" s="178"/>
      <c r="Y18" s="179"/>
      <c r="Z18" s="178">
        <v>0</v>
      </c>
      <c r="AA18" s="136">
        <f t="shared" si="2"/>
        <v>0</v>
      </c>
      <c r="AB18" s="180"/>
      <c r="AC18" s="180"/>
      <c r="AD18" s="180"/>
      <c r="AE18" s="180"/>
      <c r="AF18" s="181"/>
      <c r="AG18" s="180">
        <v>0</v>
      </c>
      <c r="AH18" s="139">
        <f t="shared" si="3"/>
        <v>0</v>
      </c>
      <c r="AI18" s="144"/>
      <c r="AJ18" s="141"/>
      <c r="AK18" s="141"/>
      <c r="AL18" s="142">
        <f t="shared" si="4"/>
        <v>0</v>
      </c>
      <c r="AM18" s="53">
        <f>SUBTOTAL(9,AM13:AM16)</f>
        <v>0</v>
      </c>
      <c r="AN18" s="53">
        <f t="shared" ref="AN18:BA18" si="20">SUBTOTAL(9,AN13:AN16)</f>
        <v>233750</v>
      </c>
      <c r="AO18" s="53">
        <f t="shared" si="20"/>
        <v>233750</v>
      </c>
      <c r="AP18" s="53">
        <f t="shared" si="20"/>
        <v>233750</v>
      </c>
      <c r="AQ18" s="53">
        <f t="shared" si="20"/>
        <v>233750</v>
      </c>
      <c r="AR18" s="53">
        <f t="shared" si="20"/>
        <v>233750</v>
      </c>
      <c r="AS18" s="53">
        <f t="shared" si="20"/>
        <v>0</v>
      </c>
      <c r="AT18" s="53">
        <f>SUBTOTAL(9,AT13:AT16)</f>
        <v>1168750</v>
      </c>
      <c r="AU18" s="56">
        <f t="shared" si="20"/>
        <v>233750</v>
      </c>
      <c r="AV18" s="56">
        <f t="shared" si="20"/>
        <v>233750</v>
      </c>
      <c r="AW18" s="56">
        <f t="shared" si="20"/>
        <v>233750</v>
      </c>
      <c r="AX18" s="56">
        <f t="shared" si="20"/>
        <v>233750</v>
      </c>
      <c r="AY18" s="56">
        <f t="shared" si="20"/>
        <v>233750</v>
      </c>
      <c r="AZ18" s="56">
        <f t="shared" si="20"/>
        <v>0</v>
      </c>
      <c r="BA18" s="56">
        <f t="shared" si="20"/>
        <v>1168750</v>
      </c>
      <c r="BB18" s="128"/>
    </row>
    <row r="19" spans="1:57">
      <c r="A19" s="170"/>
      <c r="B19" s="171"/>
      <c r="C19" s="172"/>
      <c r="D19" s="173"/>
      <c r="E19" s="174"/>
      <c r="F19" s="175"/>
      <c r="G19" s="175"/>
      <c r="H19" s="175"/>
      <c r="I19" s="175"/>
      <c r="J19" s="175"/>
      <c r="K19" s="175"/>
      <c r="L19" s="175">
        <f t="shared" si="0"/>
        <v>0</v>
      </c>
      <c r="M19" s="176"/>
      <c r="N19" s="176"/>
      <c r="O19" s="176"/>
      <c r="P19" s="176"/>
      <c r="Q19" s="176"/>
      <c r="R19" s="176"/>
      <c r="S19" s="176">
        <f t="shared" si="1"/>
        <v>0</v>
      </c>
      <c r="T19" s="177">
        <v>0</v>
      </c>
      <c r="U19" s="177"/>
      <c r="V19" s="178"/>
      <c r="W19" s="178"/>
      <c r="X19" s="178"/>
      <c r="Y19" s="179"/>
      <c r="Z19" s="178">
        <v>0</v>
      </c>
      <c r="AA19" s="136">
        <f t="shared" si="2"/>
        <v>0</v>
      </c>
      <c r="AB19" s="180"/>
      <c r="AC19" s="180"/>
      <c r="AD19" s="180"/>
      <c r="AE19" s="180"/>
      <c r="AF19" s="181"/>
      <c r="AG19" s="180">
        <v>0</v>
      </c>
      <c r="AH19" s="139">
        <f t="shared" si="3"/>
        <v>0</v>
      </c>
      <c r="AI19" s="144"/>
      <c r="AJ19" s="141"/>
      <c r="AK19" s="141"/>
      <c r="AL19" s="142">
        <f t="shared" si="4"/>
        <v>0</v>
      </c>
      <c r="AM19" s="51">
        <f t="shared" si="5"/>
        <v>0</v>
      </c>
      <c r="AN19" s="51">
        <f t="shared" si="6"/>
        <v>0</v>
      </c>
      <c r="AO19" s="51">
        <f t="shared" si="7"/>
        <v>0</v>
      </c>
      <c r="AP19" s="51">
        <f t="shared" si="8"/>
        <v>0</v>
      </c>
      <c r="AQ19" s="51">
        <f t="shared" si="9"/>
        <v>0</v>
      </c>
      <c r="AR19" s="51">
        <f t="shared" si="10"/>
        <v>0</v>
      </c>
      <c r="AS19" s="51">
        <f t="shared" si="11"/>
        <v>0</v>
      </c>
      <c r="AT19" s="51">
        <f t="shared" si="19"/>
        <v>0</v>
      </c>
      <c r="AU19" s="54">
        <f t="shared" si="12"/>
        <v>0</v>
      </c>
      <c r="AV19" s="54">
        <f t="shared" si="13"/>
        <v>0</v>
      </c>
      <c r="AW19" s="54">
        <f t="shared" si="14"/>
        <v>0</v>
      </c>
      <c r="AX19" s="54">
        <f t="shared" si="15"/>
        <v>0</v>
      </c>
      <c r="AY19" s="54">
        <f t="shared" si="16"/>
        <v>0</v>
      </c>
      <c r="AZ19" s="54">
        <f t="shared" si="17"/>
        <v>0</v>
      </c>
      <c r="BA19" s="54">
        <f t="shared" si="18"/>
        <v>0</v>
      </c>
      <c r="BB19" s="128"/>
    </row>
    <row r="20" spans="1:57" s="130" customFormat="1">
      <c r="A20" s="107">
        <v>2</v>
      </c>
      <c r="B20" s="108" t="s">
        <v>720</v>
      </c>
      <c r="C20" s="109"/>
      <c r="D20" s="110"/>
      <c r="E20" s="111"/>
      <c r="F20" s="112"/>
      <c r="G20" s="112"/>
      <c r="H20" s="112"/>
      <c r="I20" s="112"/>
      <c r="J20" s="112"/>
      <c r="K20" s="112"/>
      <c r="L20" s="113"/>
      <c r="M20" s="114"/>
      <c r="N20" s="114"/>
      <c r="O20" s="114"/>
      <c r="P20" s="114"/>
      <c r="Q20" s="114"/>
      <c r="R20" s="114"/>
      <c r="S20" s="115"/>
      <c r="T20" s="116"/>
      <c r="U20" s="116"/>
      <c r="V20" s="117"/>
      <c r="W20" s="117"/>
      <c r="X20" s="117"/>
      <c r="Y20" s="118"/>
      <c r="Z20" s="117"/>
      <c r="AA20" s="119"/>
      <c r="AB20" s="120"/>
      <c r="AC20" s="120"/>
      <c r="AD20" s="120"/>
      <c r="AE20" s="120"/>
      <c r="AF20" s="121"/>
      <c r="AG20" s="120"/>
      <c r="AH20" s="122"/>
      <c r="AI20" s="123"/>
      <c r="AJ20" s="124"/>
      <c r="AK20" s="124"/>
      <c r="AL20" s="125"/>
      <c r="AM20" s="126"/>
      <c r="AN20" s="126"/>
      <c r="AO20" s="126"/>
      <c r="AP20" s="52"/>
      <c r="AQ20" s="126"/>
      <c r="AR20" s="126"/>
      <c r="AS20" s="126"/>
      <c r="AT20" s="52"/>
      <c r="AU20" s="127"/>
      <c r="AV20" s="127"/>
      <c r="AW20" s="55"/>
      <c r="AX20" s="127"/>
      <c r="AY20" s="127"/>
      <c r="AZ20" s="127"/>
      <c r="BA20" s="55"/>
      <c r="BB20" s="128"/>
      <c r="BC20" s="129"/>
      <c r="BD20" s="129"/>
    </row>
    <row r="21" spans="1:57" s="67" customFormat="1" ht="23.1">
      <c r="A21" s="170">
        <v>2.0099999999999998</v>
      </c>
      <c r="B21" s="171" t="s">
        <v>721</v>
      </c>
      <c r="C21" s="172"/>
      <c r="D21" s="173"/>
      <c r="E21" s="174"/>
      <c r="F21" s="175"/>
      <c r="G21" s="175"/>
      <c r="H21" s="175"/>
      <c r="I21" s="175"/>
      <c r="J21" s="175"/>
      <c r="K21" s="175"/>
      <c r="L21" s="175">
        <f t="shared" si="0"/>
        <v>0</v>
      </c>
      <c r="M21" s="176"/>
      <c r="N21" s="176"/>
      <c r="O21" s="176"/>
      <c r="P21" s="176"/>
      <c r="Q21" s="176"/>
      <c r="R21" s="176"/>
      <c r="S21" s="176">
        <f t="shared" si="1"/>
        <v>0</v>
      </c>
      <c r="T21" s="177">
        <v>0</v>
      </c>
      <c r="U21" s="177">
        <v>108</v>
      </c>
      <c r="V21" s="178"/>
      <c r="W21" s="178"/>
      <c r="X21" s="178"/>
      <c r="Y21" s="179"/>
      <c r="Z21" s="178">
        <v>0</v>
      </c>
      <c r="AA21" s="136">
        <f t="shared" si="2"/>
        <v>108</v>
      </c>
      <c r="AB21" s="180"/>
      <c r="AC21" s="180"/>
      <c r="AD21" s="180"/>
      <c r="AE21" s="180"/>
      <c r="AF21" s="181"/>
      <c r="AG21" s="180">
        <v>0</v>
      </c>
      <c r="AH21" s="139">
        <f t="shared" si="3"/>
        <v>0</v>
      </c>
      <c r="AI21" s="144" t="s">
        <v>722</v>
      </c>
      <c r="AJ21" s="141">
        <v>250</v>
      </c>
      <c r="AK21" s="141">
        <v>1130</v>
      </c>
      <c r="AL21" s="142">
        <f t="shared" si="4"/>
        <v>1380</v>
      </c>
      <c r="AM21" s="51">
        <f t="shared" si="5"/>
        <v>0</v>
      </c>
      <c r="AN21" s="51">
        <f t="shared" si="6"/>
        <v>149040</v>
      </c>
      <c r="AO21" s="51">
        <f t="shared" si="7"/>
        <v>0</v>
      </c>
      <c r="AP21" s="51">
        <f t="shared" si="8"/>
        <v>0</v>
      </c>
      <c r="AQ21" s="51">
        <f t="shared" si="9"/>
        <v>0</v>
      </c>
      <c r="AR21" s="51">
        <f t="shared" si="10"/>
        <v>0</v>
      </c>
      <c r="AS21" s="51">
        <f t="shared" si="11"/>
        <v>0</v>
      </c>
      <c r="AT21" s="51">
        <f t="shared" si="19"/>
        <v>149040</v>
      </c>
      <c r="AU21" s="54">
        <f t="shared" si="12"/>
        <v>0</v>
      </c>
      <c r="AV21" s="54">
        <f t="shared" si="13"/>
        <v>0</v>
      </c>
      <c r="AW21" s="54">
        <f t="shared" si="14"/>
        <v>0</v>
      </c>
      <c r="AX21" s="54">
        <f t="shared" si="15"/>
        <v>0</v>
      </c>
      <c r="AY21" s="54">
        <f t="shared" si="16"/>
        <v>0</v>
      </c>
      <c r="AZ21" s="54">
        <f t="shared" si="17"/>
        <v>0</v>
      </c>
      <c r="BA21" s="54">
        <f t="shared" si="18"/>
        <v>0</v>
      </c>
      <c r="BB21" s="128"/>
      <c r="BC21" s="182"/>
      <c r="BD21" s="182"/>
    </row>
    <row r="22" spans="1:57" s="67" customFormat="1">
      <c r="A22" s="170"/>
      <c r="B22" s="171"/>
      <c r="C22" s="172"/>
      <c r="D22" s="173"/>
      <c r="E22" s="174"/>
      <c r="F22" s="175"/>
      <c r="G22" s="175"/>
      <c r="H22" s="175"/>
      <c r="I22" s="175"/>
      <c r="J22" s="175"/>
      <c r="K22" s="175"/>
      <c r="L22" s="175">
        <f t="shared" si="0"/>
        <v>0</v>
      </c>
      <c r="M22" s="176"/>
      <c r="N22" s="176"/>
      <c r="O22" s="176"/>
      <c r="P22" s="176"/>
      <c r="Q22" s="176"/>
      <c r="R22" s="176"/>
      <c r="S22" s="176">
        <f t="shared" si="1"/>
        <v>0</v>
      </c>
      <c r="T22" s="177">
        <v>0</v>
      </c>
      <c r="U22" s="177"/>
      <c r="V22" s="178"/>
      <c r="W22" s="178"/>
      <c r="X22" s="178"/>
      <c r="Y22" s="179"/>
      <c r="Z22" s="178">
        <v>0</v>
      </c>
      <c r="AA22" s="136">
        <f t="shared" si="2"/>
        <v>0</v>
      </c>
      <c r="AB22" s="180"/>
      <c r="AC22" s="180"/>
      <c r="AD22" s="180"/>
      <c r="AE22" s="180"/>
      <c r="AF22" s="181"/>
      <c r="AG22" s="180">
        <v>0</v>
      </c>
      <c r="AH22" s="139">
        <f t="shared" si="3"/>
        <v>0</v>
      </c>
      <c r="AI22" s="144"/>
      <c r="AJ22" s="141"/>
      <c r="AK22" s="141"/>
      <c r="AL22" s="142">
        <f t="shared" si="4"/>
        <v>0</v>
      </c>
      <c r="AM22" s="51">
        <f t="shared" si="5"/>
        <v>0</v>
      </c>
      <c r="AN22" s="51">
        <f t="shared" si="6"/>
        <v>0</v>
      </c>
      <c r="AO22" s="51">
        <f t="shared" si="7"/>
        <v>0</v>
      </c>
      <c r="AP22" s="51">
        <f t="shared" si="8"/>
        <v>0</v>
      </c>
      <c r="AQ22" s="51">
        <f t="shared" si="9"/>
        <v>0</v>
      </c>
      <c r="AR22" s="51">
        <f t="shared" si="10"/>
        <v>0</v>
      </c>
      <c r="AS22" s="51">
        <f t="shared" si="11"/>
        <v>0</v>
      </c>
      <c r="AT22" s="51">
        <f t="shared" si="19"/>
        <v>0</v>
      </c>
      <c r="AU22" s="54">
        <f t="shared" si="12"/>
        <v>0</v>
      </c>
      <c r="AV22" s="54">
        <f t="shared" si="13"/>
        <v>0</v>
      </c>
      <c r="AW22" s="54">
        <f t="shared" si="14"/>
        <v>0</v>
      </c>
      <c r="AX22" s="54">
        <f t="shared" si="15"/>
        <v>0</v>
      </c>
      <c r="AY22" s="54">
        <f t="shared" si="16"/>
        <v>0</v>
      </c>
      <c r="AZ22" s="54">
        <f t="shared" si="17"/>
        <v>0</v>
      </c>
      <c r="BA22" s="54">
        <f t="shared" si="18"/>
        <v>0</v>
      </c>
      <c r="BB22" s="128"/>
      <c r="BC22" s="182"/>
      <c r="BD22" s="182"/>
    </row>
    <row r="23" spans="1:57" s="67" customFormat="1">
      <c r="A23" s="170"/>
      <c r="B23" s="171"/>
      <c r="C23" s="172"/>
      <c r="D23" s="173"/>
      <c r="E23" s="174"/>
      <c r="F23" s="175"/>
      <c r="G23" s="175"/>
      <c r="H23" s="175"/>
      <c r="I23" s="175"/>
      <c r="J23" s="175"/>
      <c r="K23" s="175"/>
      <c r="L23" s="175">
        <f t="shared" si="0"/>
        <v>0</v>
      </c>
      <c r="M23" s="176"/>
      <c r="N23" s="176"/>
      <c r="O23" s="176"/>
      <c r="P23" s="176"/>
      <c r="Q23" s="176"/>
      <c r="R23" s="176"/>
      <c r="S23" s="176">
        <f t="shared" si="1"/>
        <v>0</v>
      </c>
      <c r="T23" s="177">
        <v>0</v>
      </c>
      <c r="U23" s="177"/>
      <c r="V23" s="178"/>
      <c r="W23" s="178"/>
      <c r="X23" s="178"/>
      <c r="Y23" s="179"/>
      <c r="Z23" s="178">
        <v>0</v>
      </c>
      <c r="AA23" s="136">
        <f t="shared" si="2"/>
        <v>0</v>
      </c>
      <c r="AB23" s="180"/>
      <c r="AC23" s="180"/>
      <c r="AD23" s="180"/>
      <c r="AE23" s="180"/>
      <c r="AF23" s="181"/>
      <c r="AG23" s="180">
        <v>0</v>
      </c>
      <c r="AH23" s="139">
        <f t="shared" si="3"/>
        <v>0</v>
      </c>
      <c r="AI23" s="144"/>
      <c r="AJ23" s="141"/>
      <c r="AK23" s="141"/>
      <c r="AL23" s="142">
        <f t="shared" si="4"/>
        <v>0</v>
      </c>
      <c r="AM23" s="51">
        <f t="shared" si="5"/>
        <v>0</v>
      </c>
      <c r="AN23" s="51">
        <f t="shared" si="6"/>
        <v>0</v>
      </c>
      <c r="AO23" s="51">
        <f t="shared" si="7"/>
        <v>0</v>
      </c>
      <c r="AP23" s="51">
        <f t="shared" si="8"/>
        <v>0</v>
      </c>
      <c r="AQ23" s="51">
        <f t="shared" si="9"/>
        <v>0</v>
      </c>
      <c r="AR23" s="51">
        <f t="shared" si="10"/>
        <v>0</v>
      </c>
      <c r="AS23" s="51">
        <f t="shared" si="11"/>
        <v>0</v>
      </c>
      <c r="AT23" s="51">
        <f t="shared" si="19"/>
        <v>0</v>
      </c>
      <c r="AU23" s="54">
        <f t="shared" si="12"/>
        <v>0</v>
      </c>
      <c r="AV23" s="54">
        <f t="shared" si="13"/>
        <v>0</v>
      </c>
      <c r="AW23" s="54">
        <f t="shared" si="14"/>
        <v>0</v>
      </c>
      <c r="AX23" s="54">
        <f t="shared" si="15"/>
        <v>0</v>
      </c>
      <c r="AY23" s="54">
        <f t="shared" si="16"/>
        <v>0</v>
      </c>
      <c r="AZ23" s="54">
        <f t="shared" si="17"/>
        <v>0</v>
      </c>
      <c r="BA23" s="54">
        <f t="shared" si="18"/>
        <v>0</v>
      </c>
      <c r="BB23" s="128"/>
      <c r="BC23" s="182"/>
      <c r="BD23" s="182"/>
    </row>
    <row r="24" spans="1:57">
      <c r="A24" s="170"/>
      <c r="B24" s="171"/>
      <c r="C24" s="172"/>
      <c r="D24" s="173"/>
      <c r="E24" s="174"/>
      <c r="F24" s="175"/>
      <c r="G24" s="175"/>
      <c r="H24" s="175"/>
      <c r="I24" s="175"/>
      <c r="J24" s="175"/>
      <c r="K24" s="175"/>
      <c r="L24" s="175">
        <f t="shared" si="0"/>
        <v>0</v>
      </c>
      <c r="M24" s="176"/>
      <c r="N24" s="176"/>
      <c r="O24" s="176"/>
      <c r="P24" s="176"/>
      <c r="Q24" s="176"/>
      <c r="R24" s="176"/>
      <c r="S24" s="176">
        <f t="shared" si="1"/>
        <v>0</v>
      </c>
      <c r="T24" s="177">
        <v>0</v>
      </c>
      <c r="U24" s="177"/>
      <c r="V24" s="178"/>
      <c r="W24" s="178"/>
      <c r="X24" s="178"/>
      <c r="Y24" s="179"/>
      <c r="Z24" s="178">
        <v>0</v>
      </c>
      <c r="AA24" s="136">
        <f t="shared" si="2"/>
        <v>0</v>
      </c>
      <c r="AB24" s="180"/>
      <c r="AC24" s="180"/>
      <c r="AD24" s="180"/>
      <c r="AE24" s="180"/>
      <c r="AF24" s="181"/>
      <c r="AG24" s="180">
        <v>0</v>
      </c>
      <c r="AH24" s="139">
        <f t="shared" si="3"/>
        <v>0</v>
      </c>
      <c r="AI24" s="144"/>
      <c r="AJ24" s="141"/>
      <c r="AK24" s="141"/>
      <c r="AL24" s="142">
        <f t="shared" si="4"/>
        <v>0</v>
      </c>
      <c r="AM24" s="53">
        <f>SUBTOTAL(9,AM19:AM22)</f>
        <v>0</v>
      </c>
      <c r="AN24" s="53">
        <f t="shared" ref="AN24:BA24" si="21">SUBTOTAL(9,AN19:AN22)</f>
        <v>149040</v>
      </c>
      <c r="AO24" s="53">
        <f t="shared" si="21"/>
        <v>0</v>
      </c>
      <c r="AP24" s="53">
        <f t="shared" si="21"/>
        <v>0</v>
      </c>
      <c r="AQ24" s="53">
        <f t="shared" si="21"/>
        <v>0</v>
      </c>
      <c r="AR24" s="53">
        <f t="shared" si="21"/>
        <v>0</v>
      </c>
      <c r="AS24" s="53">
        <f t="shared" si="21"/>
        <v>0</v>
      </c>
      <c r="AT24" s="53">
        <f>SUBTOTAL(9,AT19:AT23)</f>
        <v>149040</v>
      </c>
      <c r="AU24" s="56">
        <f t="shared" si="21"/>
        <v>0</v>
      </c>
      <c r="AV24" s="56">
        <f t="shared" si="21"/>
        <v>0</v>
      </c>
      <c r="AW24" s="56">
        <f t="shared" si="21"/>
        <v>0</v>
      </c>
      <c r="AX24" s="56">
        <f t="shared" si="21"/>
        <v>0</v>
      </c>
      <c r="AY24" s="56">
        <f t="shared" si="21"/>
        <v>0</v>
      </c>
      <c r="AZ24" s="56">
        <f t="shared" si="21"/>
        <v>0</v>
      </c>
      <c r="BA24" s="56">
        <f t="shared" si="21"/>
        <v>0</v>
      </c>
      <c r="BB24" s="128"/>
    </row>
    <row r="25" spans="1:57">
      <c r="A25" s="170"/>
      <c r="B25" s="171"/>
      <c r="C25" s="172"/>
      <c r="D25" s="173"/>
      <c r="E25" s="174"/>
      <c r="F25" s="175"/>
      <c r="G25" s="175"/>
      <c r="H25" s="175"/>
      <c r="I25" s="175"/>
      <c r="J25" s="175"/>
      <c r="K25" s="175"/>
      <c r="L25" s="175">
        <f t="shared" si="0"/>
        <v>0</v>
      </c>
      <c r="M25" s="176"/>
      <c r="N25" s="176"/>
      <c r="O25" s="176"/>
      <c r="P25" s="176"/>
      <c r="Q25" s="176"/>
      <c r="R25" s="176"/>
      <c r="S25" s="176">
        <f t="shared" si="1"/>
        <v>0</v>
      </c>
      <c r="T25" s="177">
        <v>0</v>
      </c>
      <c r="U25" s="177"/>
      <c r="V25" s="178"/>
      <c r="W25" s="178"/>
      <c r="X25" s="178"/>
      <c r="Y25" s="179"/>
      <c r="Z25" s="178">
        <v>0</v>
      </c>
      <c r="AA25" s="136">
        <f t="shared" si="2"/>
        <v>0</v>
      </c>
      <c r="AB25" s="180"/>
      <c r="AC25" s="180"/>
      <c r="AD25" s="180"/>
      <c r="AE25" s="180"/>
      <c r="AF25" s="181"/>
      <c r="AG25" s="180">
        <v>0</v>
      </c>
      <c r="AH25" s="139">
        <f t="shared" si="3"/>
        <v>0</v>
      </c>
      <c r="AI25" s="144"/>
      <c r="AJ25" s="141"/>
      <c r="AK25" s="141"/>
      <c r="AL25" s="142">
        <f t="shared" si="4"/>
        <v>0</v>
      </c>
      <c r="AM25" s="51">
        <f t="shared" ref="AM25" si="22">T25*AL25</f>
        <v>0</v>
      </c>
      <c r="AN25" s="51">
        <f t="shared" ref="AN25" si="23">U25*AL25</f>
        <v>0</v>
      </c>
      <c r="AO25" s="51">
        <f t="shared" ref="AO25" si="24">V25*AL25</f>
        <v>0</v>
      </c>
      <c r="AP25" s="51">
        <f t="shared" ref="AP25" si="25">W25*AL25</f>
        <v>0</v>
      </c>
      <c r="AQ25" s="51">
        <f t="shared" ref="AQ25" si="26">X25*AL25</f>
        <v>0</v>
      </c>
      <c r="AR25" s="51">
        <f t="shared" ref="AR25" si="27">Y25*AL25</f>
        <v>0</v>
      </c>
      <c r="AS25" s="51">
        <f t="shared" ref="AS25" si="28">Z25*AL25</f>
        <v>0</v>
      </c>
      <c r="AT25" s="51">
        <f t="shared" ref="AT25" si="29">SUM(AM25:AS25)</f>
        <v>0</v>
      </c>
      <c r="AU25" s="54">
        <f t="shared" ref="AU25" si="30">AB25*AL25</f>
        <v>0</v>
      </c>
      <c r="AV25" s="54">
        <f t="shared" ref="AV25" si="31">AC25*AL25</f>
        <v>0</v>
      </c>
      <c r="AW25" s="54">
        <f t="shared" ref="AW25" si="32">AD25*AL25</f>
        <v>0</v>
      </c>
      <c r="AX25" s="54">
        <f t="shared" ref="AX25" si="33">AE25*AL25</f>
        <v>0</v>
      </c>
      <c r="AY25" s="54">
        <f t="shared" ref="AY25" si="34">AF25*AL25</f>
        <v>0</v>
      </c>
      <c r="AZ25" s="54">
        <f t="shared" ref="AZ25" si="35">AG25*AL25</f>
        <v>0</v>
      </c>
      <c r="BA25" s="54">
        <f t="shared" ref="BA25" si="36">SUM(AU25:AZ25)</f>
        <v>0</v>
      </c>
      <c r="BB25" s="128"/>
    </row>
    <row r="26" spans="1:57" s="130" customFormat="1">
      <c r="A26" s="107">
        <v>3</v>
      </c>
      <c r="B26" s="108" t="s">
        <v>723</v>
      </c>
      <c r="C26" s="109"/>
      <c r="D26" s="110"/>
      <c r="E26" s="111"/>
      <c r="F26" s="112"/>
      <c r="G26" s="112"/>
      <c r="H26" s="112"/>
      <c r="I26" s="112"/>
      <c r="J26" s="112"/>
      <c r="K26" s="112"/>
      <c r="L26" s="113"/>
      <c r="M26" s="114"/>
      <c r="N26" s="114"/>
      <c r="O26" s="114"/>
      <c r="P26" s="114"/>
      <c r="Q26" s="114"/>
      <c r="R26" s="114"/>
      <c r="S26" s="115"/>
      <c r="T26" s="116"/>
      <c r="U26" s="116"/>
      <c r="V26" s="117"/>
      <c r="W26" s="117"/>
      <c r="X26" s="117"/>
      <c r="Y26" s="118"/>
      <c r="Z26" s="117"/>
      <c r="AA26" s="136">
        <f t="shared" si="2"/>
        <v>0</v>
      </c>
      <c r="AB26" s="120"/>
      <c r="AC26" s="120"/>
      <c r="AD26" s="120"/>
      <c r="AE26" s="120"/>
      <c r="AF26" s="121"/>
      <c r="AG26" s="120"/>
      <c r="AH26" s="139">
        <f t="shared" si="3"/>
        <v>0</v>
      </c>
      <c r="AI26" s="123"/>
      <c r="AJ26" s="124"/>
      <c r="AK26" s="124"/>
      <c r="AL26" s="125"/>
      <c r="AM26" s="126"/>
      <c r="AN26" s="126"/>
      <c r="AO26" s="126"/>
      <c r="AP26" s="52"/>
      <c r="AQ26" s="126"/>
      <c r="AR26" s="126"/>
      <c r="AS26" s="126"/>
      <c r="AT26" s="52"/>
      <c r="AU26" s="127"/>
      <c r="AV26" s="127"/>
      <c r="AW26" s="55"/>
      <c r="AX26" s="127"/>
      <c r="AY26" s="127"/>
      <c r="AZ26" s="127"/>
      <c r="BA26" s="55"/>
      <c r="BB26" s="128"/>
      <c r="BC26" s="129"/>
      <c r="BD26" s="129"/>
    </row>
    <row r="27" spans="1:57" s="67" customFormat="1" ht="23.1">
      <c r="A27" s="170">
        <f>A26+0.01</f>
        <v>3.01</v>
      </c>
      <c r="B27" s="171" t="s">
        <v>724</v>
      </c>
      <c r="C27" s="172" t="s">
        <v>725</v>
      </c>
      <c r="D27" s="173"/>
      <c r="E27" s="174"/>
      <c r="F27" s="175"/>
      <c r="G27" s="175"/>
      <c r="H27" s="175"/>
      <c r="I27" s="175"/>
      <c r="J27" s="175"/>
      <c r="K27" s="175"/>
      <c r="L27" s="175">
        <f t="shared" ref="L27:L33" si="37">SUM(F27:K27)</f>
        <v>0</v>
      </c>
      <c r="M27" s="176"/>
      <c r="N27" s="176"/>
      <c r="O27" s="176"/>
      <c r="P27" s="176"/>
      <c r="Q27" s="176"/>
      <c r="R27" s="176"/>
      <c r="S27" s="176">
        <f t="shared" ref="S27:S33" si="38">SUM(M27:R27)</f>
        <v>0</v>
      </c>
      <c r="T27" s="177"/>
      <c r="U27" s="177">
        <v>46.391999999999996</v>
      </c>
      <c r="V27" s="178">
        <v>39.119999999999997</v>
      </c>
      <c r="W27" s="178">
        <v>32.687999999999995</v>
      </c>
      <c r="X27" s="178">
        <v>25.991999999999994</v>
      </c>
      <c r="Y27" s="179">
        <v>36.024000000000001</v>
      </c>
      <c r="Z27" s="178"/>
      <c r="AA27" s="136">
        <f t="shared" si="2"/>
        <v>180.21599999999998</v>
      </c>
      <c r="AB27" s="180">
        <v>52.992000000000004</v>
      </c>
      <c r="AC27" s="180">
        <v>58.751999999999995</v>
      </c>
      <c r="AD27" s="180">
        <v>59.807999999999993</v>
      </c>
      <c r="AE27" s="180">
        <v>56.64</v>
      </c>
      <c r="AF27" s="181">
        <v>26.880000000000003</v>
      </c>
      <c r="AG27" s="180"/>
      <c r="AH27" s="139">
        <f>SUM(AB27:AG27)</f>
        <v>255.072</v>
      </c>
      <c r="AI27" s="144" t="s">
        <v>722</v>
      </c>
      <c r="AJ27" s="141">
        <v>108</v>
      </c>
      <c r="AK27" s="141">
        <v>72</v>
      </c>
      <c r="AL27" s="142">
        <f>AJ27+AK27</f>
        <v>180</v>
      </c>
      <c r="AM27" s="51">
        <f>T27*AL27</f>
        <v>0</v>
      </c>
      <c r="AN27" s="51">
        <f t="shared" ref="AN27:AN32" si="39">U27*AL27</f>
        <v>8350.56</v>
      </c>
      <c r="AO27" s="51">
        <f t="shared" ref="AO27:AO32" si="40">V27*AL27</f>
        <v>7041.5999999999995</v>
      </c>
      <c r="AP27" s="51">
        <f t="shared" ref="AP27:AP32" si="41">W27*AL27</f>
        <v>5883.8399999999992</v>
      </c>
      <c r="AQ27" s="51">
        <f t="shared" ref="AQ27:AQ32" si="42">X27*AL27</f>
        <v>4678.5599999999986</v>
      </c>
      <c r="AR27" s="51">
        <f t="shared" ref="AR27:AR32" si="43">Y27*AL27</f>
        <v>6484.32</v>
      </c>
      <c r="AS27" s="51">
        <f t="shared" ref="AS27:AS32" si="44">Z27*AL27</f>
        <v>0</v>
      </c>
      <c r="AT27" s="51">
        <f>SUM(AM27:AS27)</f>
        <v>32438.879999999997</v>
      </c>
      <c r="AU27" s="54">
        <f t="shared" ref="AU27:AU32" si="45">AB27*AL27</f>
        <v>9538.5600000000013</v>
      </c>
      <c r="AV27" s="54">
        <f t="shared" ref="AV27:AV32" si="46">AC27*AL27</f>
        <v>10575.359999999999</v>
      </c>
      <c r="AW27" s="54">
        <f t="shared" ref="AW27:AW32" si="47">AD27*AL27</f>
        <v>10765.439999999999</v>
      </c>
      <c r="AX27" s="54">
        <f t="shared" ref="AX27:AX32" si="48">AE27*AL27</f>
        <v>10195.200000000001</v>
      </c>
      <c r="AY27" s="54">
        <f t="shared" ref="AY27:AY32" si="49">AF27*AL27</f>
        <v>4838.4000000000005</v>
      </c>
      <c r="AZ27" s="54">
        <f t="shared" ref="AZ27:AZ32" si="50">AG27*AL27</f>
        <v>0</v>
      </c>
      <c r="BA27" s="54">
        <f>SUM(AU27:AZ27)</f>
        <v>45912.959999999999</v>
      </c>
      <c r="BB27" s="128"/>
      <c r="BC27" s="129"/>
      <c r="BD27" s="129">
        <f>1217*180</f>
        <v>219060</v>
      </c>
      <c r="BE27" s="130"/>
    </row>
    <row r="28" spans="1:57" s="67" customFormat="1" ht="23.1">
      <c r="A28" s="170">
        <f t="shared" ref="A28:A30" si="51">A27+0.01</f>
        <v>3.0199999999999996</v>
      </c>
      <c r="B28" s="171" t="s">
        <v>726</v>
      </c>
      <c r="C28" s="172" t="s">
        <v>727</v>
      </c>
      <c r="D28" s="173"/>
      <c r="E28" s="174"/>
      <c r="F28" s="175"/>
      <c r="G28" s="175"/>
      <c r="H28" s="175"/>
      <c r="I28" s="175"/>
      <c r="J28" s="175"/>
      <c r="K28" s="175"/>
      <c r="L28" s="175">
        <f t="shared" si="37"/>
        <v>0</v>
      </c>
      <c r="M28" s="176"/>
      <c r="N28" s="176"/>
      <c r="O28" s="176"/>
      <c r="P28" s="176"/>
      <c r="Q28" s="176"/>
      <c r="R28" s="176"/>
      <c r="S28" s="176">
        <f t="shared" si="38"/>
        <v>0</v>
      </c>
      <c r="T28" s="177"/>
      <c r="U28" s="177">
        <v>32.423999999999992</v>
      </c>
      <c r="V28" s="178">
        <v>28.128</v>
      </c>
      <c r="W28" s="178">
        <v>36.479999999999997</v>
      </c>
      <c r="X28" s="178">
        <v>26.159999999999997</v>
      </c>
      <c r="Y28" s="179">
        <v>47.208000000000006</v>
      </c>
      <c r="Z28" s="178"/>
      <c r="AA28" s="136">
        <f t="shared" si="2"/>
        <v>170.39999999999998</v>
      </c>
      <c r="AB28" s="180">
        <v>34.32</v>
      </c>
      <c r="AC28" s="180">
        <v>47.111999999999988</v>
      </c>
      <c r="AD28" s="180">
        <v>68.496000000000009</v>
      </c>
      <c r="AE28" s="180">
        <v>61.8</v>
      </c>
      <c r="AF28" s="181">
        <v>50.448000000000008</v>
      </c>
      <c r="AG28" s="180"/>
      <c r="AH28" s="139">
        <f t="shared" si="3"/>
        <v>262.17600000000004</v>
      </c>
      <c r="AI28" s="144" t="s">
        <v>722</v>
      </c>
      <c r="AJ28" s="141">
        <v>108</v>
      </c>
      <c r="AK28" s="141">
        <v>72</v>
      </c>
      <c r="AL28" s="142">
        <f t="shared" ref="AL28:AL33" si="52">AJ28+AK28</f>
        <v>180</v>
      </c>
      <c r="AM28" s="51">
        <f t="shared" ref="AM28:AM32" si="53">T28*AL28</f>
        <v>0</v>
      </c>
      <c r="AN28" s="51">
        <f t="shared" si="39"/>
        <v>5836.3199999999988</v>
      </c>
      <c r="AO28" s="51">
        <f t="shared" si="40"/>
        <v>5063.04</v>
      </c>
      <c r="AP28" s="51">
        <f t="shared" si="41"/>
        <v>6566.4</v>
      </c>
      <c r="AQ28" s="51">
        <f t="shared" si="42"/>
        <v>4708.7999999999993</v>
      </c>
      <c r="AR28" s="51">
        <f t="shared" si="43"/>
        <v>8497.44</v>
      </c>
      <c r="AS28" s="51">
        <f t="shared" si="44"/>
        <v>0</v>
      </c>
      <c r="AT28" s="51">
        <f t="shared" ref="AT28:AT32" si="54">SUM(AM28:AS28)</f>
        <v>30672</v>
      </c>
      <c r="AU28" s="54">
        <f t="shared" si="45"/>
        <v>6177.6</v>
      </c>
      <c r="AV28" s="54">
        <f t="shared" si="46"/>
        <v>8480.159999999998</v>
      </c>
      <c r="AW28" s="54">
        <f t="shared" si="47"/>
        <v>12329.280000000002</v>
      </c>
      <c r="AX28" s="54">
        <f t="shared" si="48"/>
        <v>11124</v>
      </c>
      <c r="AY28" s="54">
        <f t="shared" si="49"/>
        <v>9080.6400000000012</v>
      </c>
      <c r="AZ28" s="54">
        <f t="shared" si="50"/>
        <v>0</v>
      </c>
      <c r="BA28" s="54">
        <f t="shared" ref="BA28:BA32" si="55">SUM(AU28:AZ28)</f>
        <v>47191.68</v>
      </c>
      <c r="BB28" s="128"/>
      <c r="BC28" s="129"/>
      <c r="BD28" s="129"/>
      <c r="BE28" s="130"/>
    </row>
    <row r="29" spans="1:57" s="67" customFormat="1" ht="23.1">
      <c r="A29" s="170">
        <f t="shared" si="51"/>
        <v>3.0299999999999994</v>
      </c>
      <c r="B29" s="171" t="s">
        <v>728</v>
      </c>
      <c r="C29" s="172" t="s">
        <v>729</v>
      </c>
      <c r="D29" s="173"/>
      <c r="E29" s="174"/>
      <c r="F29" s="175"/>
      <c r="G29" s="175"/>
      <c r="H29" s="175"/>
      <c r="I29" s="175"/>
      <c r="J29" s="175"/>
      <c r="K29" s="175"/>
      <c r="L29" s="175">
        <f t="shared" si="37"/>
        <v>0</v>
      </c>
      <c r="M29" s="176"/>
      <c r="N29" s="176"/>
      <c r="O29" s="176"/>
      <c r="P29" s="176"/>
      <c r="Q29" s="176"/>
      <c r="R29" s="176"/>
      <c r="S29" s="176">
        <f t="shared" si="38"/>
        <v>0</v>
      </c>
      <c r="T29" s="177"/>
      <c r="U29" s="177">
        <v>23</v>
      </c>
      <c r="V29" s="178">
        <v>25</v>
      </c>
      <c r="W29" s="178">
        <v>29</v>
      </c>
      <c r="X29" s="178">
        <v>25</v>
      </c>
      <c r="Y29" s="179">
        <v>33</v>
      </c>
      <c r="Z29" s="178"/>
      <c r="AA29" s="136">
        <f t="shared" si="2"/>
        <v>135</v>
      </c>
      <c r="AB29" s="180">
        <v>36</v>
      </c>
      <c r="AC29" s="180">
        <v>43</v>
      </c>
      <c r="AD29" s="180">
        <v>46</v>
      </c>
      <c r="AE29" s="180">
        <v>46</v>
      </c>
      <c r="AF29" s="181">
        <v>32</v>
      </c>
      <c r="AG29" s="180"/>
      <c r="AH29" s="139">
        <f t="shared" si="3"/>
        <v>203</v>
      </c>
      <c r="AI29" s="144" t="s">
        <v>722</v>
      </c>
      <c r="AJ29" s="141">
        <v>108</v>
      </c>
      <c r="AK29" s="141">
        <v>72</v>
      </c>
      <c r="AL29" s="142">
        <f t="shared" si="52"/>
        <v>180</v>
      </c>
      <c r="AM29" s="51">
        <f t="shared" si="53"/>
        <v>0</v>
      </c>
      <c r="AN29" s="51">
        <f t="shared" si="39"/>
        <v>4140</v>
      </c>
      <c r="AO29" s="51">
        <f t="shared" si="40"/>
        <v>4500</v>
      </c>
      <c r="AP29" s="51">
        <f>W29*AL29</f>
        <v>5220</v>
      </c>
      <c r="AQ29" s="51">
        <f t="shared" si="42"/>
        <v>4500</v>
      </c>
      <c r="AR29" s="51">
        <f t="shared" si="43"/>
        <v>5940</v>
      </c>
      <c r="AS29" s="51">
        <f t="shared" si="44"/>
        <v>0</v>
      </c>
      <c r="AT29" s="51">
        <f t="shared" si="54"/>
        <v>24300</v>
      </c>
      <c r="AU29" s="54">
        <f t="shared" si="45"/>
        <v>6480</v>
      </c>
      <c r="AV29" s="54">
        <f t="shared" si="46"/>
        <v>7740</v>
      </c>
      <c r="AW29" s="54">
        <f t="shared" si="47"/>
        <v>8280</v>
      </c>
      <c r="AX29" s="54">
        <f t="shared" si="48"/>
        <v>8280</v>
      </c>
      <c r="AY29" s="54">
        <f t="shared" si="49"/>
        <v>5760</v>
      </c>
      <c r="AZ29" s="54">
        <f t="shared" si="50"/>
        <v>0</v>
      </c>
      <c r="BA29" s="54">
        <f t="shared" si="55"/>
        <v>36540</v>
      </c>
      <c r="BB29" s="128"/>
      <c r="BC29" s="129"/>
      <c r="BD29" s="129"/>
      <c r="BE29" s="130"/>
    </row>
    <row r="30" spans="1:57" s="67" customFormat="1" ht="23.1">
      <c r="A30" s="170">
        <f t="shared" si="51"/>
        <v>3.0399999999999991</v>
      </c>
      <c r="B30" s="171" t="s">
        <v>728</v>
      </c>
      <c r="C30" s="172" t="s">
        <v>730</v>
      </c>
      <c r="D30" s="173"/>
      <c r="E30" s="174"/>
      <c r="F30" s="175"/>
      <c r="G30" s="175"/>
      <c r="H30" s="175"/>
      <c r="I30" s="175"/>
      <c r="J30" s="175"/>
      <c r="K30" s="175"/>
      <c r="L30" s="175">
        <f t="shared" si="37"/>
        <v>0</v>
      </c>
      <c r="M30" s="176"/>
      <c r="N30" s="176"/>
      <c r="O30" s="176"/>
      <c r="P30" s="176"/>
      <c r="Q30" s="176"/>
      <c r="R30" s="176"/>
      <c r="S30" s="176">
        <f t="shared" si="38"/>
        <v>0</v>
      </c>
      <c r="T30" s="177"/>
      <c r="U30" s="177">
        <v>3</v>
      </c>
      <c r="V30" s="178">
        <v>2</v>
      </c>
      <c r="W30" s="178">
        <v>2</v>
      </c>
      <c r="X30" s="178">
        <v>2</v>
      </c>
      <c r="Y30" s="179">
        <v>2</v>
      </c>
      <c r="Z30" s="178"/>
      <c r="AA30" s="136">
        <f t="shared" si="2"/>
        <v>11</v>
      </c>
      <c r="AB30" s="180"/>
      <c r="AC30" s="180"/>
      <c r="AD30" s="180"/>
      <c r="AE30" s="180"/>
      <c r="AF30" s="181"/>
      <c r="AG30" s="180"/>
      <c r="AH30" s="139">
        <f t="shared" si="3"/>
        <v>0</v>
      </c>
      <c r="AI30" s="144" t="s">
        <v>722</v>
      </c>
      <c r="AJ30" s="141">
        <v>108</v>
      </c>
      <c r="AK30" s="141">
        <v>72</v>
      </c>
      <c r="AL30" s="142">
        <f t="shared" si="52"/>
        <v>180</v>
      </c>
      <c r="AM30" s="51">
        <f t="shared" si="53"/>
        <v>0</v>
      </c>
      <c r="AN30" s="51">
        <f t="shared" si="39"/>
        <v>540</v>
      </c>
      <c r="AO30" s="51">
        <f t="shared" si="40"/>
        <v>360</v>
      </c>
      <c r="AP30" s="51">
        <f t="shared" si="41"/>
        <v>360</v>
      </c>
      <c r="AQ30" s="51">
        <f t="shared" si="42"/>
        <v>360</v>
      </c>
      <c r="AR30" s="51">
        <f t="shared" si="43"/>
        <v>360</v>
      </c>
      <c r="AS30" s="51">
        <f t="shared" si="44"/>
        <v>0</v>
      </c>
      <c r="AT30" s="51">
        <f t="shared" si="54"/>
        <v>1980</v>
      </c>
      <c r="AU30" s="54">
        <f t="shared" si="45"/>
        <v>0</v>
      </c>
      <c r="AV30" s="54">
        <f t="shared" si="46"/>
        <v>0</v>
      </c>
      <c r="AW30" s="54">
        <f t="shared" si="47"/>
        <v>0</v>
      </c>
      <c r="AX30" s="54">
        <f t="shared" si="48"/>
        <v>0</v>
      </c>
      <c r="AY30" s="54">
        <f t="shared" si="49"/>
        <v>0</v>
      </c>
      <c r="AZ30" s="54">
        <f t="shared" si="50"/>
        <v>0</v>
      </c>
      <c r="BA30" s="54">
        <f t="shared" si="55"/>
        <v>0</v>
      </c>
      <c r="BB30" s="128"/>
      <c r="BC30" s="129"/>
      <c r="BD30" s="129"/>
      <c r="BE30" s="130"/>
    </row>
    <row r="31" spans="1:57" s="67" customFormat="1">
      <c r="A31" s="170"/>
      <c r="B31" s="171"/>
      <c r="C31" s="172"/>
      <c r="D31" s="173"/>
      <c r="E31" s="174"/>
      <c r="F31" s="175"/>
      <c r="G31" s="175"/>
      <c r="H31" s="175"/>
      <c r="I31" s="175"/>
      <c r="J31" s="175"/>
      <c r="K31" s="175"/>
      <c r="L31" s="175">
        <f t="shared" si="37"/>
        <v>0</v>
      </c>
      <c r="M31" s="176"/>
      <c r="N31" s="176"/>
      <c r="O31" s="176"/>
      <c r="P31" s="176"/>
      <c r="Q31" s="176"/>
      <c r="R31" s="176"/>
      <c r="S31" s="176">
        <f t="shared" si="38"/>
        <v>0</v>
      </c>
      <c r="T31" s="177">
        <v>0</v>
      </c>
      <c r="U31" s="177"/>
      <c r="V31" s="178"/>
      <c r="W31" s="178"/>
      <c r="X31" s="178"/>
      <c r="Y31" s="179"/>
      <c r="Z31" s="178">
        <v>0</v>
      </c>
      <c r="AA31" s="136">
        <f t="shared" si="2"/>
        <v>0</v>
      </c>
      <c r="AB31" s="180"/>
      <c r="AC31" s="180"/>
      <c r="AD31" s="180"/>
      <c r="AE31" s="180"/>
      <c r="AF31" s="181"/>
      <c r="AG31" s="180">
        <v>0</v>
      </c>
      <c r="AH31" s="139">
        <f t="shared" si="3"/>
        <v>0</v>
      </c>
      <c r="AI31" s="144"/>
      <c r="AJ31" s="141"/>
      <c r="AK31" s="141"/>
      <c r="AL31" s="142">
        <f t="shared" si="52"/>
        <v>0</v>
      </c>
      <c r="AM31" s="51">
        <f t="shared" si="53"/>
        <v>0</v>
      </c>
      <c r="AN31" s="51">
        <f t="shared" si="39"/>
        <v>0</v>
      </c>
      <c r="AO31" s="51">
        <f t="shared" si="40"/>
        <v>0</v>
      </c>
      <c r="AP31" s="51">
        <f t="shared" si="41"/>
        <v>0</v>
      </c>
      <c r="AQ31" s="51">
        <f t="shared" si="42"/>
        <v>0</v>
      </c>
      <c r="AR31" s="51">
        <f t="shared" si="43"/>
        <v>0</v>
      </c>
      <c r="AS31" s="51">
        <f t="shared" si="44"/>
        <v>0</v>
      </c>
      <c r="AT31" s="51">
        <f t="shared" si="54"/>
        <v>0</v>
      </c>
      <c r="AU31" s="54">
        <f t="shared" si="45"/>
        <v>0</v>
      </c>
      <c r="AV31" s="54">
        <f t="shared" si="46"/>
        <v>0</v>
      </c>
      <c r="AW31" s="54">
        <f t="shared" si="47"/>
        <v>0</v>
      </c>
      <c r="AX31" s="54">
        <f t="shared" si="48"/>
        <v>0</v>
      </c>
      <c r="AY31" s="54">
        <f t="shared" si="49"/>
        <v>0</v>
      </c>
      <c r="AZ31" s="54">
        <f t="shared" si="50"/>
        <v>0</v>
      </c>
      <c r="BA31" s="54">
        <f t="shared" si="55"/>
        <v>0</v>
      </c>
      <c r="BB31" s="128"/>
      <c r="BC31" s="129"/>
      <c r="BD31" s="129"/>
      <c r="BE31" s="130"/>
    </row>
    <row r="32" spans="1:57" s="67" customFormat="1">
      <c r="A32" s="170"/>
      <c r="B32" s="171"/>
      <c r="C32" s="172"/>
      <c r="D32" s="173"/>
      <c r="E32" s="174"/>
      <c r="F32" s="175"/>
      <c r="G32" s="175"/>
      <c r="H32" s="175"/>
      <c r="I32" s="175"/>
      <c r="J32" s="175"/>
      <c r="K32" s="175"/>
      <c r="L32" s="175">
        <f t="shared" si="37"/>
        <v>0</v>
      </c>
      <c r="M32" s="176"/>
      <c r="N32" s="176"/>
      <c r="O32" s="176"/>
      <c r="P32" s="176"/>
      <c r="Q32" s="176"/>
      <c r="R32" s="176"/>
      <c r="S32" s="176">
        <f t="shared" si="38"/>
        <v>0</v>
      </c>
      <c r="T32" s="177">
        <v>0</v>
      </c>
      <c r="U32" s="177"/>
      <c r="V32" s="178"/>
      <c r="W32" s="178"/>
      <c r="X32" s="178"/>
      <c r="Y32" s="179"/>
      <c r="Z32" s="178">
        <v>0</v>
      </c>
      <c r="AA32" s="136">
        <f t="shared" si="2"/>
        <v>0</v>
      </c>
      <c r="AB32" s="180"/>
      <c r="AC32" s="180"/>
      <c r="AD32" s="180"/>
      <c r="AE32" s="180"/>
      <c r="AF32" s="181"/>
      <c r="AG32" s="180">
        <v>0</v>
      </c>
      <c r="AH32" s="139">
        <f t="shared" si="3"/>
        <v>0</v>
      </c>
      <c r="AI32" s="144"/>
      <c r="AJ32" s="141"/>
      <c r="AK32" s="141"/>
      <c r="AL32" s="142">
        <f t="shared" si="52"/>
        <v>0</v>
      </c>
      <c r="AM32" s="51">
        <f t="shared" si="53"/>
        <v>0</v>
      </c>
      <c r="AN32" s="51">
        <f t="shared" si="39"/>
        <v>0</v>
      </c>
      <c r="AO32" s="51">
        <f t="shared" si="40"/>
        <v>0</v>
      </c>
      <c r="AP32" s="51">
        <f t="shared" si="41"/>
        <v>0</v>
      </c>
      <c r="AQ32" s="51">
        <f t="shared" si="42"/>
        <v>0</v>
      </c>
      <c r="AR32" s="51">
        <f t="shared" si="43"/>
        <v>0</v>
      </c>
      <c r="AS32" s="51">
        <f t="shared" si="44"/>
        <v>0</v>
      </c>
      <c r="AT32" s="51">
        <f t="shared" si="54"/>
        <v>0</v>
      </c>
      <c r="AU32" s="54">
        <f t="shared" si="45"/>
        <v>0</v>
      </c>
      <c r="AV32" s="54">
        <f t="shared" si="46"/>
        <v>0</v>
      </c>
      <c r="AW32" s="54">
        <f t="shared" si="47"/>
        <v>0</v>
      </c>
      <c r="AX32" s="54">
        <f t="shared" si="48"/>
        <v>0</v>
      </c>
      <c r="AY32" s="54">
        <f t="shared" si="49"/>
        <v>0</v>
      </c>
      <c r="AZ32" s="54">
        <f t="shared" si="50"/>
        <v>0</v>
      </c>
      <c r="BA32" s="54">
        <f t="shared" si="55"/>
        <v>0</v>
      </c>
      <c r="BB32" s="128"/>
      <c r="BC32" s="129"/>
      <c r="BD32" s="129"/>
      <c r="BE32" s="130"/>
    </row>
    <row r="33" spans="1:57">
      <c r="A33" s="170"/>
      <c r="B33" s="171"/>
      <c r="C33" s="172"/>
      <c r="D33" s="173"/>
      <c r="E33" s="174"/>
      <c r="F33" s="175"/>
      <c r="G33" s="175"/>
      <c r="H33" s="175"/>
      <c r="I33" s="175"/>
      <c r="J33" s="175"/>
      <c r="K33" s="175"/>
      <c r="L33" s="175">
        <f t="shared" si="37"/>
        <v>0</v>
      </c>
      <c r="M33" s="176"/>
      <c r="N33" s="176"/>
      <c r="O33" s="176"/>
      <c r="P33" s="176"/>
      <c r="Q33" s="176"/>
      <c r="R33" s="176"/>
      <c r="S33" s="176">
        <f t="shared" si="38"/>
        <v>0</v>
      </c>
      <c r="T33" s="177">
        <v>0</v>
      </c>
      <c r="U33" s="177"/>
      <c r="V33" s="178"/>
      <c r="W33" s="178"/>
      <c r="X33" s="178"/>
      <c r="Y33" s="179"/>
      <c r="Z33" s="178">
        <v>0</v>
      </c>
      <c r="AA33" s="136">
        <f t="shared" si="2"/>
        <v>0</v>
      </c>
      <c r="AB33" s="180"/>
      <c r="AC33" s="180"/>
      <c r="AD33" s="180"/>
      <c r="AE33" s="180"/>
      <c r="AF33" s="181"/>
      <c r="AG33" s="180">
        <v>0</v>
      </c>
      <c r="AH33" s="139">
        <f t="shared" si="3"/>
        <v>0</v>
      </c>
      <c r="AI33" s="144"/>
      <c r="AJ33" s="141"/>
      <c r="AK33" s="141"/>
      <c r="AL33" s="142">
        <f t="shared" si="52"/>
        <v>0</v>
      </c>
      <c r="AM33" s="53">
        <f t="shared" ref="AM33:AS33" si="56">SUBTOTAL(9,AM25:AM31)</f>
        <v>0</v>
      </c>
      <c r="AN33" s="53">
        <f>SUBTOTAL(9,AN25:AN31)</f>
        <v>18866.879999999997</v>
      </c>
      <c r="AO33" s="53">
        <f>SUBTOTAL(9,AO25:AO31)</f>
        <v>16964.64</v>
      </c>
      <c r="AP33" s="53">
        <f>SUBTOTAL(9,AP25:AP31)</f>
        <v>18030.239999999998</v>
      </c>
      <c r="AQ33" s="53">
        <f>SUBTOTAL(9,AQ25:AQ31)</f>
        <v>14247.359999999997</v>
      </c>
      <c r="AR33" s="53">
        <f>SUBTOTAL(9,AR25:AR31)</f>
        <v>21281.760000000002</v>
      </c>
      <c r="AS33" s="53">
        <f t="shared" si="56"/>
        <v>0</v>
      </c>
      <c r="AT33" s="53">
        <f>SUBTOTAL(9,AT27:AT32)</f>
        <v>89390.88</v>
      </c>
      <c r="AU33" s="56">
        <f t="shared" ref="AU33:BA33" si="57">SUBTOTAL(9,AU25:AU31)</f>
        <v>22196.160000000003</v>
      </c>
      <c r="AV33" s="56">
        <f t="shared" si="57"/>
        <v>26795.519999999997</v>
      </c>
      <c r="AW33" s="56">
        <f t="shared" si="57"/>
        <v>31374.720000000001</v>
      </c>
      <c r="AX33" s="56">
        <f t="shared" si="57"/>
        <v>29599.200000000001</v>
      </c>
      <c r="AY33" s="56">
        <f t="shared" si="57"/>
        <v>19679.04</v>
      </c>
      <c r="AZ33" s="56">
        <f t="shared" si="57"/>
        <v>0</v>
      </c>
      <c r="BA33" s="56">
        <f t="shared" si="57"/>
        <v>129644.64</v>
      </c>
      <c r="BB33" s="128"/>
      <c r="BC33" s="129"/>
      <c r="BD33" s="129"/>
      <c r="BE33" s="130"/>
    </row>
    <row r="34" spans="1:57">
      <c r="A34" s="170"/>
      <c r="B34" s="171"/>
      <c r="C34" s="172"/>
      <c r="D34" s="173"/>
      <c r="E34" s="174"/>
      <c r="F34" s="175"/>
      <c r="G34" s="175"/>
      <c r="H34" s="175"/>
      <c r="I34" s="175"/>
      <c r="J34" s="175"/>
      <c r="K34" s="175"/>
      <c r="L34" s="175">
        <f t="shared" si="0"/>
        <v>0</v>
      </c>
      <c r="M34" s="176"/>
      <c r="N34" s="176"/>
      <c r="O34" s="176"/>
      <c r="P34" s="176"/>
      <c r="Q34" s="176"/>
      <c r="R34" s="176"/>
      <c r="S34" s="176">
        <f t="shared" si="1"/>
        <v>0</v>
      </c>
      <c r="T34" s="177">
        <v>0</v>
      </c>
      <c r="U34" s="177"/>
      <c r="V34" s="178"/>
      <c r="W34" s="178"/>
      <c r="X34" s="178"/>
      <c r="Y34" s="179"/>
      <c r="Z34" s="178">
        <v>0</v>
      </c>
      <c r="AA34" s="136">
        <f t="shared" si="2"/>
        <v>0</v>
      </c>
      <c r="AB34" s="180"/>
      <c r="AC34" s="180"/>
      <c r="AD34" s="180"/>
      <c r="AE34" s="180"/>
      <c r="AF34" s="181"/>
      <c r="AG34" s="180">
        <v>0</v>
      </c>
      <c r="AH34" s="139">
        <f t="shared" si="3"/>
        <v>0</v>
      </c>
      <c r="AI34" s="144"/>
      <c r="AJ34" s="141"/>
      <c r="AK34" s="141"/>
      <c r="AL34" s="142">
        <f t="shared" si="4"/>
        <v>0</v>
      </c>
      <c r="AM34" s="51">
        <f t="shared" si="5"/>
        <v>0</v>
      </c>
      <c r="AN34" s="51">
        <f t="shared" si="6"/>
        <v>0</v>
      </c>
      <c r="AO34" s="51">
        <f t="shared" si="7"/>
        <v>0</v>
      </c>
      <c r="AP34" s="51">
        <f t="shared" si="8"/>
        <v>0</v>
      </c>
      <c r="AQ34" s="51">
        <f t="shared" si="9"/>
        <v>0</v>
      </c>
      <c r="AR34" s="51">
        <f t="shared" si="10"/>
        <v>0</v>
      </c>
      <c r="AS34" s="51">
        <f t="shared" si="11"/>
        <v>0</v>
      </c>
      <c r="AT34" s="51">
        <f t="shared" si="19"/>
        <v>0</v>
      </c>
      <c r="AU34" s="54">
        <f t="shared" si="12"/>
        <v>0</v>
      </c>
      <c r="AV34" s="54">
        <f t="shared" si="13"/>
        <v>0</v>
      </c>
      <c r="AW34" s="54">
        <f t="shared" si="14"/>
        <v>0</v>
      </c>
      <c r="AX34" s="54">
        <f t="shared" si="15"/>
        <v>0</v>
      </c>
      <c r="AY34" s="54">
        <f t="shared" si="16"/>
        <v>0</v>
      </c>
      <c r="AZ34" s="54">
        <f t="shared" si="17"/>
        <v>0</v>
      </c>
      <c r="BA34" s="54">
        <f t="shared" si="18"/>
        <v>0</v>
      </c>
      <c r="BB34" s="128"/>
      <c r="BC34" s="129"/>
      <c r="BD34" s="129"/>
      <c r="BE34" s="130"/>
    </row>
    <row r="35" spans="1:57">
      <c r="A35" s="170"/>
      <c r="B35" s="171"/>
      <c r="C35" s="172"/>
      <c r="D35" s="173"/>
      <c r="E35" s="174"/>
      <c r="F35" s="175"/>
      <c r="G35" s="175"/>
      <c r="H35" s="175"/>
      <c r="I35" s="175"/>
      <c r="J35" s="175"/>
      <c r="K35" s="175"/>
      <c r="L35" s="175">
        <f t="shared" si="0"/>
        <v>0</v>
      </c>
      <c r="M35" s="176"/>
      <c r="N35" s="176"/>
      <c r="O35" s="176"/>
      <c r="P35" s="176"/>
      <c r="Q35" s="176"/>
      <c r="R35" s="176"/>
      <c r="S35" s="176">
        <f t="shared" si="1"/>
        <v>0</v>
      </c>
      <c r="T35" s="177">
        <v>0</v>
      </c>
      <c r="U35" s="177"/>
      <c r="V35" s="178"/>
      <c r="W35" s="178"/>
      <c r="X35" s="178"/>
      <c r="Y35" s="179"/>
      <c r="Z35" s="178">
        <v>0</v>
      </c>
      <c r="AA35" s="136">
        <f t="shared" si="2"/>
        <v>0</v>
      </c>
      <c r="AB35" s="180"/>
      <c r="AC35" s="180"/>
      <c r="AD35" s="180"/>
      <c r="AE35" s="180"/>
      <c r="AF35" s="181"/>
      <c r="AG35" s="180">
        <v>0</v>
      </c>
      <c r="AH35" s="139">
        <f t="shared" si="3"/>
        <v>0</v>
      </c>
      <c r="AI35" s="144"/>
      <c r="AJ35" s="141"/>
      <c r="AK35" s="141"/>
      <c r="AL35" s="142">
        <f t="shared" si="4"/>
        <v>0</v>
      </c>
      <c r="AM35" s="51">
        <f t="shared" si="5"/>
        <v>0</v>
      </c>
      <c r="AN35" s="51">
        <f t="shared" si="6"/>
        <v>0</v>
      </c>
      <c r="AO35" s="51">
        <f t="shared" si="7"/>
        <v>0</v>
      </c>
      <c r="AP35" s="51">
        <f t="shared" si="8"/>
        <v>0</v>
      </c>
      <c r="AQ35" s="51">
        <f t="shared" si="9"/>
        <v>0</v>
      </c>
      <c r="AR35" s="51">
        <f t="shared" si="10"/>
        <v>0</v>
      </c>
      <c r="AS35" s="51">
        <f t="shared" si="11"/>
        <v>0</v>
      </c>
      <c r="AT35" s="51">
        <f t="shared" si="19"/>
        <v>0</v>
      </c>
      <c r="AU35" s="54">
        <f t="shared" si="12"/>
        <v>0</v>
      </c>
      <c r="AV35" s="54">
        <f t="shared" si="13"/>
        <v>0</v>
      </c>
      <c r="AW35" s="54">
        <f t="shared" si="14"/>
        <v>0</v>
      </c>
      <c r="AX35" s="54">
        <f t="shared" si="15"/>
        <v>0</v>
      </c>
      <c r="AY35" s="54">
        <f t="shared" si="16"/>
        <v>0</v>
      </c>
      <c r="AZ35" s="54">
        <f t="shared" si="17"/>
        <v>0</v>
      </c>
      <c r="BA35" s="54">
        <f t="shared" si="18"/>
        <v>0</v>
      </c>
      <c r="BB35" s="128"/>
      <c r="BC35" s="129"/>
      <c r="BD35" s="129"/>
      <c r="BE35" s="130"/>
    </row>
    <row r="36" spans="1:57">
      <c r="BC36" s="129"/>
      <c r="BD36" s="129"/>
      <c r="BE36" s="130"/>
    </row>
    <row r="37" spans="1:57">
      <c r="BC37" s="129"/>
      <c r="BD37" s="129"/>
      <c r="BE37" s="130"/>
    </row>
    <row r="38" spans="1:57">
      <c r="BC38" s="129"/>
      <c r="BD38" s="129"/>
      <c r="BE38" s="130"/>
    </row>
  </sheetData>
  <mergeCells count="18">
    <mergeCell ref="AM11:AT11"/>
    <mergeCell ref="AU11:BA11"/>
    <mergeCell ref="A8:BB8"/>
    <mergeCell ref="A10:A12"/>
    <mergeCell ref="B10:B12"/>
    <mergeCell ref="C10:C12"/>
    <mergeCell ref="D10:D12"/>
    <mergeCell ref="E10:S10"/>
    <mergeCell ref="T10:AH10"/>
    <mergeCell ref="AI10:AI12"/>
    <mergeCell ref="AJ10:AL10"/>
    <mergeCell ref="AM10:AT10"/>
    <mergeCell ref="AU10:BA10"/>
    <mergeCell ref="BB10:BB12"/>
    <mergeCell ref="E11:L11"/>
    <mergeCell ref="M11:S11"/>
    <mergeCell ref="T11:AA11"/>
    <mergeCell ref="AB11:AH11"/>
  </mergeCells>
  <pageMargins left="0.70866141732283472" right="0.70866141732283472" top="0.74803149606299213" bottom="0.74803149606299213" header="0.31496062992125984" footer="0.31496062992125984"/>
  <pageSetup paperSize="9" scale="2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CcA9aBApGZS4cwWrmi/8kGAAAAAAIAAAAAABBmAAAAAQAAIAAAAHoh63i8giXxbUbM/GdZqntSxSMjldbWfHIPrP9XgfkDAAAAAA6AAAAAAgAAIAAAADRgg2bF65PAhdygzHXynPxM8qrJcXnaYrTkqmOoUCZPUAAAAI59WvER/6JFdCfH+WCZmUgWPY6iwoL8Wm4PjMj1Bsu5lR7GMWnJyO7P42l4uXKx9PhnHzNgAWhGcLZiVZcYsJfhv+O7JKvTgJ/c0/mcw8jVQAAAAGGt2318zQimgfcWp0hqYhy3JupDLc4KCPt4Qax8m0AXAWszlWQqJuT8I0sX8jHzFwupiWLYoeNIQ6rcXnA5048=</DataMashup>
</file>

<file path=customXml/item3.xml><?xml version="1.0" encoding="utf-8"?>
<ct:contentTypeSchema xmlns:ct="http://schemas.microsoft.com/office/2006/metadata/contentType" xmlns:ma="http://schemas.microsoft.com/office/2006/metadata/properties/metaAttributes" ct:_="" ma:_="" ma:contentTypeName="Document" ma:contentTypeID="0x0101006E8B1BD80ED74645BE7DF67EF380A1D8" ma:contentTypeVersion="18" ma:contentTypeDescription="Create a new document." ma:contentTypeScope="" ma:versionID="9e09cfcbae80e5f47a8692ad68ecee0a">
  <xsd:schema xmlns:xsd="http://www.w3.org/2001/XMLSchema" xmlns:xs="http://www.w3.org/2001/XMLSchema" xmlns:p="http://schemas.microsoft.com/office/2006/metadata/properties" xmlns:ns1="http://schemas.microsoft.com/sharepoint/v3" xmlns:ns2="8bca1a3b-2baa-4fab-8c48-4d1d7d1daf19" xmlns:ns3="af034ce8-8d19-4307-a17b-8fc2a54f44a0" targetNamespace="http://schemas.microsoft.com/office/2006/metadata/properties" ma:root="true" ma:fieldsID="185f1bd4a61b099528e4aaec24ff0dfd" ns1:_="" ns2:_="" ns3:_="">
    <xsd:import namespace="http://schemas.microsoft.com/sharepoint/v3"/>
    <xsd:import namespace="8bca1a3b-2baa-4fab-8c48-4d1d7d1daf19"/>
    <xsd:import namespace="af034ce8-8d19-4307-a17b-8fc2a54f44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ca1a3b-2baa-4fab-8c48-4d1d7d1daf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34ce8-8d19-4307-a17b-8fc2a54f44a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a7fc82-aa92-40fd-8304-d83947be28c5}" ma:internalName="TaxCatchAll" ma:showField="CatchAllData" ma:web="af034ce8-8d19-4307-a17b-8fc2a54f44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af034ce8-8d19-4307-a17b-8fc2a54f44a0" xsi:nil="true"/>
    <lcf76f155ced4ddcb4097134ff3c332f xmlns="8bca1a3b-2baa-4fab-8c48-4d1d7d1daf1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90463C1-A5DC-4121-A974-82D851C8B3C7}"/>
</file>

<file path=customXml/itemProps2.xml><?xml version="1.0" encoding="utf-8"?>
<ds:datastoreItem xmlns:ds="http://schemas.openxmlformats.org/officeDocument/2006/customXml" ds:itemID="{BF6C6689-83CE-418B-9418-85FC4ED90C97}"/>
</file>

<file path=customXml/itemProps3.xml><?xml version="1.0" encoding="utf-8"?>
<ds:datastoreItem xmlns:ds="http://schemas.openxmlformats.org/officeDocument/2006/customXml" ds:itemID="{CD6862F2-C022-4A31-BE7C-4809AAF0ECBD}"/>
</file>

<file path=customXml/itemProps4.xml><?xml version="1.0" encoding="utf-8"?>
<ds:datastoreItem xmlns:ds="http://schemas.openxmlformats.org/officeDocument/2006/customXml" ds:itemID="{1DCC0D48-FAA6-4718-AAEC-D12358C14EB8}"/>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Peak.Hao@jll.com</dc:creator>
  <cp:keywords/>
  <dc:description/>
  <cp:lastModifiedBy>Joy Liu (bei jing zhong liang lian hang wu y)</cp:lastModifiedBy>
  <cp:revision/>
  <dcterms:created xsi:type="dcterms:W3CDTF">2021-05-10T13:55:00Z</dcterms:created>
  <dcterms:modified xsi:type="dcterms:W3CDTF">2026-08-13T03:41:28Z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91B3C929002E474994E7356AB184875E_13</vt:lpwstr>
  </property>
  <property fmtid="{D5CDD505-2E9C-101B-9397-08002B2CF9AE}" pid="3" name="KSOProductBuildVer">
    <vt:lpwstr>2052-12.1.0.28043</vt:lpwstr>
  </property>
  <property fmtid="{D5CDD505-2E9C-101B-9397-08002B2CF9AE}" pid="4" name="MediaServiceImageTags">
    <vt:lpwstr/>
  </property>
  <property fmtid="{D5CDD505-2E9C-101B-9397-08002B2CF9AE}" pid="5" name="ContentTypeId">
    <vt:lpwstr>0x0101006E8B1BD80ED74645BE7DF67EF380A1D8</vt:lpwstr>
  </property>
  <property fmtid="{D5CDD505-2E9C-101B-9397-08002B2CF9AE}" pid="6" name="PMTags">
    <vt:lpwstr/>
  </property>
  <property fmtid="{D5CDD505-2E9C-101B-9397-08002B2CF9AE}" pid="7" name="CalculationRule">
    <vt:i4>0</vt:i4>
  </property>
</Properties>
</file>
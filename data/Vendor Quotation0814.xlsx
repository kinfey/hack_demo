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apc-my.sharepoint.com/personal/v-joyliu1_microsoft_com/Documents/Hackathon/0814/"/>
    </mc:Choice>
  </mc:AlternateContent>
  <xr:revisionPtr revIDLastSave="94" documentId="8_{76BA4909-127B-4D46-BA7C-65062A655720}" xr6:coauthVersionLast="47" xr6:coauthVersionMax="47" xr10:uidLastSave="{BAFFAA3D-B00B-49C3-98BB-A62D50ECE836}"/>
  <bookViews>
    <workbookView xWindow="-110" yWindow="-110" windowWidth="19420" windowHeight="10300" xr2:uid="{3092CB0C-2CFA-47A8-8F8C-DD7F23F16DF5}"/>
  </bookViews>
  <sheets>
    <sheet name="Vendor-A" sheetId="1" r:id="rId1"/>
    <sheet name="Vendor-B" sheetId="2" r:id="rId2"/>
    <sheet name="Vendor-C" sheetId="3" r:id="rId3"/>
    <sheet name="Vendor-D" sheetId="4" r:id="rId4"/>
    <sheet name="Vendor-E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5" l="1"/>
  <c r="B11" i="4"/>
  <c r="B11" i="3"/>
  <c r="B11" i="2"/>
  <c r="B11" i="1"/>
  <c r="C43" i="5"/>
  <c r="A6" i="5"/>
  <c r="A4" i="5"/>
  <c r="A3" i="5"/>
  <c r="A2" i="5"/>
  <c r="C43" i="4"/>
  <c r="A6" i="4"/>
  <c r="A4" i="4"/>
  <c r="A3" i="4"/>
  <c r="A2" i="4"/>
  <c r="C43" i="3"/>
  <c r="A6" i="3"/>
  <c r="A4" i="3"/>
  <c r="A3" i="3"/>
  <c r="A2" i="3"/>
  <c r="C43" i="2"/>
  <c r="A6" i="2"/>
  <c r="A4" i="2"/>
  <c r="A3" i="2"/>
  <c r="A2" i="2"/>
  <c r="C43" i="1"/>
  <c r="A6" i="1"/>
  <c r="A4" i="1"/>
  <c r="A3" i="1"/>
  <c r="A2" i="1"/>
</calcChain>
</file>

<file path=xl/sharedStrings.xml><?xml version="1.0" encoding="utf-8"?>
<sst xmlns="http://schemas.openxmlformats.org/spreadsheetml/2006/main" count="292" uniqueCount="62">
  <si>
    <t>SUMMARY PAGE</t>
  </si>
  <si>
    <t>Vendor-A</t>
  </si>
  <si>
    <t>No.</t>
  </si>
  <si>
    <t>DESCRIPTION</t>
  </si>
  <si>
    <t>GC Total
(USD)</t>
  </si>
  <si>
    <t>A</t>
  </si>
  <si>
    <t>Preliminaries (inclusive of M&amp;E Works)</t>
  </si>
  <si>
    <t>B</t>
  </si>
  <si>
    <t>Demolition Works 拆除工程</t>
  </si>
  <si>
    <t>C</t>
  </si>
  <si>
    <t>Partition Works 隔墙工程</t>
  </si>
  <si>
    <t>D</t>
  </si>
  <si>
    <t>Wall finish 墙面饰面</t>
  </si>
  <si>
    <t>E</t>
  </si>
  <si>
    <t>Ceiling Works 天花工程</t>
  </si>
  <si>
    <t>G</t>
  </si>
  <si>
    <t>Flooring Works (Fit-Out) 地面工程</t>
  </si>
  <si>
    <t>H</t>
  </si>
  <si>
    <t>Carpet 地毯工程</t>
  </si>
  <si>
    <t>I</t>
  </si>
  <si>
    <t>Door Works 门工程</t>
  </si>
  <si>
    <t>J</t>
  </si>
  <si>
    <t>Carpentry Works 木器工程</t>
  </si>
  <si>
    <t>K</t>
  </si>
  <si>
    <t>Internal Staircase 内部楼梯</t>
  </si>
  <si>
    <t>L</t>
  </si>
  <si>
    <t>Atrium works 中庭工程</t>
  </si>
  <si>
    <t>M</t>
  </si>
  <si>
    <t>Signage / Graphics 标识及图形</t>
  </si>
  <si>
    <t>N</t>
  </si>
  <si>
    <t>Blinds 窗帘</t>
  </si>
  <si>
    <t>O</t>
  </si>
  <si>
    <t>Miscellaneous Items Works 其他杂项</t>
  </si>
  <si>
    <t>P</t>
  </si>
  <si>
    <t>Building Management Systems (BMS)</t>
  </si>
  <si>
    <t>Q</t>
  </si>
  <si>
    <t>Low Side Electrical Works 低压电气</t>
  </si>
  <si>
    <t>R</t>
  </si>
  <si>
    <t>Uninterruptible Power Supply (UPS) Works</t>
  </si>
  <si>
    <t>S</t>
  </si>
  <si>
    <t>Light Fixtures 灯具</t>
  </si>
  <si>
    <t>T</t>
  </si>
  <si>
    <t>Lighting Management System 灯控系统</t>
  </si>
  <si>
    <t>U</t>
  </si>
  <si>
    <t>Air-conditioning Works 空调工程</t>
  </si>
  <si>
    <t>V</t>
  </si>
  <si>
    <t>Fire Suppression Systems (Fit-Out Works)</t>
  </si>
  <si>
    <t>W</t>
  </si>
  <si>
    <t>Sprinkler Installations (Fit-Out Works)</t>
  </si>
  <si>
    <t>X</t>
  </si>
  <si>
    <t>Fire Suppression Systems 消防系统</t>
  </si>
  <si>
    <t>Y</t>
  </si>
  <si>
    <t>Plumbing &amp; Drainage works 给排水系统</t>
  </si>
  <si>
    <t>Total</t>
  </si>
  <si>
    <t>Vendor-B</t>
  </si>
  <si>
    <t>Vendor-C</t>
  </si>
  <si>
    <t>Vendor-D</t>
  </si>
  <si>
    <t>Vendor-E</t>
  </si>
  <si>
    <t>Fit out works 装饰工程</t>
  </si>
  <si>
    <t>MEP works 机电工程</t>
  </si>
  <si>
    <t>Construction Area (Sqft)</t>
  </si>
  <si>
    <t>Construction Area (Sqm)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</si>
</sst>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[$$-409]* #,##0.00_);_([$$-409]* \(#,##0.00\);_([$$-409]* &quot;-&quot;??_);_(@_)"/>
    <numFmt numFmtId="165" formatCode="[$-409]#,##0.00"/>
  </numFmts>
  <fonts count="15" x14ac:knownFonts="1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charset val="134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1"/>
      </patternFill>
    </fill>
    <fill>
      <patternFill patternType="solid">
        <fgColor indexed="65"/>
        <bgColor theme="0"/>
      </patternFill>
    </fill>
    <fill>
      <patternFill patternType="solid">
        <fgColor theme="6" tint="0.79998168889431442"/>
        <bgColor indexed="1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theme="0"/>
      </patternFill>
    </fill>
    <fill>
      <patternFill patternType="solid">
        <fgColor theme="6" tint="0.79998168889431442"/>
        <bgColor theme="0"/>
      </patternFill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1"/>
      </patternFill>
    </fill>
    <fill>
      <patternFill patternType="solid">
        <fgColor theme="4" tint="0.79998168889431442"/>
        <bgColor indexed="1"/>
      </patternFill>
    </fill>
    <fill>
      <patternFill patternType="solid">
        <fgColor theme="5" tint="0.79998168889431442"/>
        <bgColor indexed="1"/>
      </patternFill>
    </fill>
    <fill>
      <patternFill patternType="solid">
        <fgColor rgb="FFFFE1FF"/>
        <bgColor indexed="1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5" tint="0.79998168889431442"/>
        <bgColor theme="0"/>
      </patternFill>
    </fill>
    <fill>
      <patternFill patternType="solid">
        <fgColor rgb="FFFFE1FF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/>
      <bottom style="hair">
        <color rgb="FFD9D9D9"/>
      </bottom>
      <diagonal/>
    </border>
    <border>
      <left/>
      <right/>
      <top style="hair">
        <color rgb="FFD9D9D9"/>
      </top>
      <bottom style="hair">
        <color rgb="FFD9D9D9"/>
      </bottom>
      <diagonal/>
    </border>
    <border>
      <left/>
      <right/>
      <top style="hair">
        <color rgb="FFD9D9D9"/>
      </top>
      <bottom/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2" fillId="0" borderId="0"/>
  </cellStyleXfs>
  <cellXfs count="103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5" fillId="3" borderId="0" xfId="0" applyFont="1" applyFill="1" applyAlignment="1">
      <alignment vertical="top"/>
    </xf>
    <xf numFmtId="0" fontId="6" fillId="2" borderId="0" xfId="0" applyFont="1" applyFill="1" applyAlignment="1">
      <alignment horizontal="left" vertical="center" wrapText="1"/>
    </xf>
    <xf numFmtId="49" fontId="8" fillId="5" borderId="1" xfId="2" applyNumberFormat="1" applyFont="1" applyFill="1" applyBorder="1" applyAlignment="1">
      <alignment horizontal="center" vertical="top"/>
    </xf>
    <xf numFmtId="0" fontId="8" fillId="6" borderId="2" xfId="0" applyFont="1" applyFill="1" applyBorder="1" applyAlignment="1">
      <alignment vertical="top"/>
    </xf>
    <xf numFmtId="0" fontId="9" fillId="8" borderId="0" xfId="0" applyFont="1" applyFill="1"/>
    <xf numFmtId="0" fontId="10" fillId="0" borderId="3" xfId="0" applyFont="1" applyBorder="1"/>
    <xf numFmtId="0" fontId="10" fillId="0" borderId="3" xfId="0" applyFont="1" applyBorder="1" applyAlignment="1">
      <alignment wrapText="1"/>
    </xf>
    <xf numFmtId="165" fontId="10" fillId="0" borderId="3" xfId="0" applyNumberFormat="1" applyFont="1" applyBorder="1" applyAlignment="1">
      <alignment horizontal="right"/>
    </xf>
    <xf numFmtId="0" fontId="10" fillId="0" borderId="4" xfId="0" applyFont="1" applyBorder="1"/>
    <xf numFmtId="0" fontId="10" fillId="0" borderId="4" xfId="0" applyFont="1" applyBorder="1" applyAlignment="1">
      <alignment wrapText="1"/>
    </xf>
    <xf numFmtId="165" fontId="10" fillId="0" borderId="4" xfId="0" applyNumberFormat="1" applyFont="1" applyBorder="1"/>
    <xf numFmtId="0" fontId="9" fillId="8" borderId="4" xfId="0" applyFont="1" applyFill="1" applyBorder="1"/>
    <xf numFmtId="165" fontId="10" fillId="0" borderId="4" xfId="0" applyNumberFormat="1" applyFont="1" applyBorder="1" applyAlignment="1">
      <alignment horizontal="right"/>
    </xf>
    <xf numFmtId="0" fontId="10" fillId="0" borderId="5" xfId="0" applyFont="1" applyBorder="1"/>
    <xf numFmtId="0" fontId="10" fillId="0" borderId="5" xfId="0" applyFont="1" applyBorder="1" applyAlignment="1">
      <alignment wrapText="1"/>
    </xf>
    <xf numFmtId="165" fontId="10" fillId="0" borderId="5" xfId="0" applyNumberFormat="1" applyFont="1" applyBorder="1" applyAlignment="1">
      <alignment horizontal="right"/>
    </xf>
    <xf numFmtId="0" fontId="10" fillId="0" borderId="0" xfId="0" applyFont="1"/>
    <xf numFmtId="0" fontId="10" fillId="0" borderId="0" xfId="0" applyFont="1" applyAlignment="1">
      <alignment wrapText="1"/>
    </xf>
    <xf numFmtId="165" fontId="10" fillId="0" borderId="0" xfId="0" applyNumberFormat="1" applyFont="1"/>
    <xf numFmtId="0" fontId="11" fillId="9" borderId="6" xfId="0" applyFont="1" applyFill="1" applyBorder="1"/>
    <xf numFmtId="0" fontId="11" fillId="9" borderId="6" xfId="0" applyFont="1" applyFill="1" applyBorder="1" applyAlignment="1">
      <alignment wrapText="1"/>
    </xf>
    <xf numFmtId="165" fontId="11" fillId="9" borderId="6" xfId="0" applyNumberFormat="1" applyFont="1" applyFill="1" applyBorder="1"/>
    <xf numFmtId="49" fontId="2" fillId="0" borderId="0" xfId="2" applyNumberFormat="1" applyAlignment="1">
      <alignment vertical="top"/>
    </xf>
    <xf numFmtId="164" fontId="2" fillId="0" borderId="0" xfId="2" applyAlignment="1">
      <alignment vertical="top"/>
    </xf>
    <xf numFmtId="3" fontId="2" fillId="0" borderId="0" xfId="2" applyNumberFormat="1" applyAlignment="1">
      <alignment vertical="top"/>
    </xf>
    <xf numFmtId="0" fontId="2" fillId="2" borderId="7" xfId="0" applyFont="1" applyFill="1" applyBorder="1" applyAlignment="1">
      <alignment horizontal="center" vertical="top" wrapText="1"/>
    </xf>
    <xf numFmtId="3" fontId="2" fillId="2" borderId="7" xfId="0" applyNumberFormat="1" applyFont="1" applyFill="1" applyBorder="1" applyAlignment="1">
      <alignment horizontal="center" vertical="top" wrapText="1"/>
    </xf>
    <xf numFmtId="3" fontId="2" fillId="0" borderId="7" xfId="2" applyNumberFormat="1" applyBorder="1" applyAlignment="1">
      <alignment vertical="top"/>
    </xf>
    <xf numFmtId="0" fontId="2" fillId="2" borderId="7" xfId="0" applyFont="1" applyFill="1" applyBorder="1" applyAlignment="1">
      <alignment horizontal="left" vertical="top" wrapText="1"/>
    </xf>
    <xf numFmtId="3" fontId="2" fillId="2" borderId="7" xfId="0" applyNumberFormat="1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3" fontId="4" fillId="2" borderId="7" xfId="0" applyNumberFormat="1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vertical="top"/>
    </xf>
    <xf numFmtId="0" fontId="6" fillId="2" borderId="7" xfId="0" applyFont="1" applyFill="1" applyBorder="1" applyAlignment="1">
      <alignment horizontal="left" vertical="center" wrapText="1"/>
    </xf>
    <xf numFmtId="49" fontId="8" fillId="5" borderId="7" xfId="2" applyNumberFormat="1" applyFont="1" applyFill="1" applyBorder="1" applyAlignment="1">
      <alignment horizontal="center" vertical="top"/>
    </xf>
    <xf numFmtId="0" fontId="8" fillId="6" borderId="7" xfId="0" applyFont="1" applyFill="1" applyBorder="1" applyAlignment="1">
      <alignment vertical="top"/>
    </xf>
    <xf numFmtId="3" fontId="8" fillId="7" borderId="7" xfId="0" applyNumberFormat="1" applyFont="1" applyFill="1" applyBorder="1" applyAlignment="1">
      <alignment horizontal="center" vertical="top" wrapText="1"/>
    </xf>
    <xf numFmtId="0" fontId="9" fillId="8" borderId="7" xfId="0" applyFont="1" applyFill="1" applyBorder="1"/>
    <xf numFmtId="0" fontId="0" fillId="0" borderId="7" xfId="0" applyBorder="1"/>
    <xf numFmtId="0" fontId="10" fillId="0" borderId="7" xfId="0" applyFont="1" applyBorder="1"/>
    <xf numFmtId="0" fontId="10" fillId="0" borderId="7" xfId="0" applyFont="1" applyBorder="1" applyAlignment="1">
      <alignment wrapText="1"/>
    </xf>
    <xf numFmtId="165" fontId="10" fillId="0" borderId="7" xfId="0" applyNumberFormat="1" applyFont="1" applyBorder="1" applyAlignment="1">
      <alignment horizontal="right"/>
    </xf>
    <xf numFmtId="165" fontId="10" fillId="0" borderId="7" xfId="0" applyNumberFormat="1" applyFont="1" applyBorder="1"/>
    <xf numFmtId="0" fontId="11" fillId="9" borderId="7" xfId="0" applyFont="1" applyFill="1" applyBorder="1"/>
    <xf numFmtId="0" fontId="11" fillId="9" borderId="7" xfId="0" applyFont="1" applyFill="1" applyBorder="1" applyAlignment="1">
      <alignment wrapText="1"/>
    </xf>
    <xf numFmtId="165" fontId="11" fillId="9" borderId="7" xfId="0" applyNumberFormat="1" applyFont="1" applyFill="1" applyBorder="1"/>
    <xf numFmtId="49" fontId="2" fillId="0" borderId="7" xfId="2" applyNumberFormat="1" applyBorder="1" applyAlignment="1">
      <alignment vertical="top"/>
    </xf>
    <xf numFmtId="164" fontId="2" fillId="0" borderId="7" xfId="2" applyBorder="1" applyAlignment="1">
      <alignment vertical="top"/>
    </xf>
    <xf numFmtId="3" fontId="2" fillId="2" borderId="8" xfId="0" applyNumberFormat="1" applyFont="1" applyFill="1" applyBorder="1" applyAlignment="1">
      <alignment horizontal="center" vertical="top" wrapText="1"/>
    </xf>
    <xf numFmtId="43" fontId="6" fillId="0" borderId="9" xfId="1" applyFont="1" applyBorder="1" applyAlignment="1">
      <alignment vertical="top"/>
    </xf>
    <xf numFmtId="164" fontId="6" fillId="0" borderId="0" xfId="2" applyFont="1" applyAlignment="1">
      <alignment vertical="top"/>
    </xf>
    <xf numFmtId="3" fontId="2" fillId="2" borderId="7" xfId="0" applyNumberFormat="1" applyFont="1" applyFill="1" applyBorder="1" applyAlignment="1">
      <alignment vertical="top" wrapText="1"/>
    </xf>
    <xf numFmtId="43" fontId="2" fillId="0" borderId="10" xfId="1" applyFont="1" applyBorder="1" applyAlignment="1">
      <alignment vertical="top"/>
    </xf>
    <xf numFmtId="3" fontId="3" fillId="2" borderId="7" xfId="0" applyNumberFormat="1" applyFont="1" applyFill="1" applyBorder="1" applyAlignment="1">
      <alignment vertical="top" wrapText="1"/>
    </xf>
    <xf numFmtId="43" fontId="6" fillId="0" borderId="10" xfId="1" applyFont="1" applyBorder="1" applyAlignment="1">
      <alignment vertical="top"/>
    </xf>
    <xf numFmtId="43" fontId="6" fillId="0" borderId="0" xfId="1" applyFont="1" applyAlignment="1">
      <alignment vertical="center"/>
    </xf>
    <xf numFmtId="164" fontId="6" fillId="0" borderId="0" xfId="2" applyFont="1" applyAlignment="1">
      <alignment vertical="center"/>
    </xf>
    <xf numFmtId="3" fontId="8" fillId="14" borderId="7" xfId="0" applyNumberFormat="1" applyFont="1" applyFill="1" applyBorder="1" applyAlignment="1">
      <alignment horizontal="center" vertical="top" wrapText="1"/>
    </xf>
    <xf numFmtId="3" fontId="8" fillId="15" borderId="7" xfId="0" applyNumberFormat="1" applyFont="1" applyFill="1" applyBorder="1" applyAlignment="1">
      <alignment horizontal="center" vertical="top" wrapText="1"/>
    </xf>
    <xf numFmtId="3" fontId="8" fillId="16" borderId="7" xfId="0" applyNumberFormat="1" applyFont="1" applyFill="1" applyBorder="1" applyAlignment="1">
      <alignment horizontal="center" vertical="top" wrapText="1"/>
    </xf>
    <xf numFmtId="3" fontId="8" fillId="17" borderId="10" xfId="0" applyNumberFormat="1" applyFont="1" applyFill="1" applyBorder="1" applyAlignment="1">
      <alignment horizontal="center" vertical="top" wrapText="1"/>
    </xf>
    <xf numFmtId="43" fontId="3" fillId="0" borderId="0" xfId="1" applyFont="1" applyAlignment="1">
      <alignment vertical="top"/>
    </xf>
    <xf numFmtId="43" fontId="2" fillId="0" borderId="0" xfId="1" applyFont="1" applyAlignment="1">
      <alignment vertical="top"/>
    </xf>
    <xf numFmtId="164" fontId="3" fillId="0" borderId="0" xfId="2" applyFont="1" applyAlignment="1">
      <alignment vertical="top"/>
    </xf>
    <xf numFmtId="43" fontId="6" fillId="0" borderId="0" xfId="1" applyFont="1" applyAlignment="1">
      <alignment vertical="top"/>
    </xf>
    <xf numFmtId="43" fontId="7" fillId="0" borderId="0" xfId="1" applyFont="1" applyAlignment="1">
      <alignment vertical="top"/>
    </xf>
    <xf numFmtId="164" fontId="7" fillId="0" borderId="0" xfId="2" applyFont="1" applyAlignment="1">
      <alignment vertical="top"/>
    </xf>
    <xf numFmtId="43" fontId="3" fillId="5" borderId="0" xfId="1" applyFont="1" applyFill="1" applyAlignment="1">
      <alignment vertical="top"/>
    </xf>
    <xf numFmtId="43" fontId="2" fillId="5" borderId="0" xfId="1" applyFont="1" applyFill="1" applyAlignment="1">
      <alignment vertical="top"/>
    </xf>
    <xf numFmtId="164" fontId="3" fillId="5" borderId="0" xfId="2" applyFont="1" applyFill="1" applyAlignment="1">
      <alignment vertical="top"/>
    </xf>
    <xf numFmtId="164" fontId="12" fillId="0" borderId="0" xfId="2" applyFont="1" applyAlignment="1">
      <alignment vertical="top"/>
    </xf>
    <xf numFmtId="43" fontId="2" fillId="0" borderId="0" xfId="1" applyFont="1" applyBorder="1" applyAlignment="1">
      <alignment vertical="top"/>
    </xf>
    <xf numFmtId="164" fontId="3" fillId="18" borderId="0" xfId="2" applyFont="1" applyFill="1" applyAlignment="1">
      <alignment vertical="top"/>
    </xf>
    <xf numFmtId="164" fontId="2" fillId="18" borderId="0" xfId="2" applyFill="1" applyAlignment="1">
      <alignment vertical="top"/>
    </xf>
    <xf numFmtId="0" fontId="9" fillId="8" borderId="4" xfId="0" applyFont="1" applyFill="1" applyBorder="1" applyAlignment="1">
      <alignment wrapText="1"/>
    </xf>
    <xf numFmtId="165" fontId="9" fillId="8" borderId="4" xfId="0" applyNumberFormat="1" applyFont="1" applyFill="1" applyBorder="1"/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9" fillId="8" borderId="11" xfId="0" applyFont="1" applyFill="1" applyBorder="1" applyAlignment="1">
      <alignment wrapText="1"/>
    </xf>
    <xf numFmtId="0" fontId="9" fillId="8" borderId="11" xfId="0" applyFont="1" applyFill="1" applyBorder="1"/>
    <xf numFmtId="0" fontId="3" fillId="2" borderId="7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13" fillId="19" borderId="0" xfId="0" applyFont="1" applyFill="1" applyAlignment="1">
      <alignment vertical="center"/>
    </xf>
    <xf numFmtId="4" fontId="14" fillId="19" borderId="0" xfId="0" applyNumberFormat="1" applyFont="1" applyFill="1" applyAlignment="1">
      <alignment horizontal="right" vertical="center"/>
    </xf>
    <xf numFmtId="0" fontId="7" fillId="13" borderId="12" xfId="0" applyFont="1" applyFill="1" applyBorder="1" applyAlignment="1">
      <alignment horizontal="center" vertical="center" wrapText="1"/>
    </xf>
    <xf numFmtId="0" fontId="7" fillId="13" borderId="13" xfId="0" applyFont="1" applyFill="1" applyBorder="1" applyAlignment="1">
      <alignment horizontal="center" vertical="center" wrapText="1"/>
    </xf>
    <xf numFmtId="0" fontId="7" fillId="13" borderId="14" xfId="0" applyFont="1" applyFill="1" applyBorder="1" applyAlignment="1">
      <alignment horizontal="center" vertical="center" wrapText="1"/>
    </xf>
    <xf numFmtId="0" fontId="7" fillId="12" borderId="15" xfId="0" applyFont="1" applyFill="1" applyBorder="1" applyAlignment="1">
      <alignment horizontal="center" vertical="center" wrapText="1"/>
    </xf>
    <xf numFmtId="0" fontId="7" fillId="12" borderId="16" xfId="0" applyFont="1" applyFill="1" applyBorder="1" applyAlignment="1">
      <alignment horizontal="center" vertical="center" wrapText="1"/>
    </xf>
    <xf numFmtId="0" fontId="7" fillId="12" borderId="17" xfId="0" applyFont="1" applyFill="1" applyBorder="1" applyAlignment="1">
      <alignment horizontal="center" vertical="center" wrapText="1"/>
    </xf>
    <xf numFmtId="0" fontId="7" fillId="11" borderId="15" xfId="0" applyFont="1" applyFill="1" applyBorder="1" applyAlignment="1">
      <alignment horizontal="center" vertical="center" wrapText="1"/>
    </xf>
    <xf numFmtId="0" fontId="7" fillId="11" borderId="16" xfId="0" applyFont="1" applyFill="1" applyBorder="1" applyAlignment="1">
      <alignment horizontal="center" vertical="center" wrapText="1"/>
    </xf>
    <xf numFmtId="0" fontId="7" fillId="11" borderId="17" xfId="0" applyFont="1" applyFill="1" applyBorder="1" applyAlignment="1">
      <alignment horizontal="center" vertical="center" wrapText="1"/>
    </xf>
    <xf numFmtId="0" fontId="7" fillId="10" borderId="15" xfId="0" applyFont="1" applyFill="1" applyBorder="1" applyAlignment="1">
      <alignment horizontal="center" vertical="center" wrapText="1"/>
    </xf>
    <xf numFmtId="0" fontId="7" fillId="10" borderId="16" xfId="0" applyFont="1" applyFill="1" applyBorder="1" applyAlignment="1">
      <alignment horizontal="center" vertical="center" wrapText="1"/>
    </xf>
    <xf numFmtId="0" fontId="7" fillId="10" borderId="17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</cellXfs>
  <cellStyles count="3">
    <cellStyle name="常规" xfId="0" builtinId="0"/>
    <cellStyle name="常规 6" xfId="2" xr:uid="{6C3860B6-E51F-4E6C-A34B-9BFCA51453B7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crosoftapc-my.sharepoint.com/personal/v-joyliu1_microsoft_com/Documents/Hackathon/COST-0814.xlsx" TargetMode="External"/><Relationship Id="rId1" Type="http://schemas.openxmlformats.org/officeDocument/2006/relationships/externalLinkPath" Target="COST-08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Summary"/>
      <sheetName val="OUTPUT"/>
      <sheetName val="Introduction"/>
      <sheetName val="Rules of measurement"/>
      <sheetName val="PER Budget"/>
      <sheetName val="QS Estimation"/>
      <sheetName val="Vendor Quotation"/>
      <sheetName val="MAPPING RULES"/>
      <sheetName val="Historical Unit Rates"/>
      <sheetName val="HYE新增项"/>
      <sheetName val="HYE-option"/>
    </sheetNames>
    <sheetDataSet>
      <sheetData sheetId="0">
        <row r="2">
          <cell r="A2" t="str">
            <v>CHN, Shanghai Campus Building 1 RF Project</v>
          </cell>
        </row>
        <row r="3">
          <cell r="A3" t="str">
            <v>Build General Contractor Works</v>
          </cell>
        </row>
        <row r="4">
          <cell r="A4" t="str">
            <v xml:space="preserve">Issue Date: </v>
          </cell>
        </row>
        <row r="6">
          <cell r="A6" t="str">
            <v>Name of Tenderer:__________________________________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CB927-7EF8-4EAC-A0E4-ED8BD16CDF13}">
  <dimension ref="A1:C47"/>
  <sheetViews>
    <sheetView tabSelected="1" topLeftCell="A9" workbookViewId="0">
      <selection activeCell="F15" sqref="F15"/>
    </sheetView>
  </sheetViews>
  <sheetFormatPr defaultRowHeight="14" x14ac:dyDescent="0.25"/>
  <cols>
    <col min="1" max="1" width="25.36328125" style="50" customWidth="1"/>
    <col min="2" max="2" width="39.26953125" style="51" customWidth="1"/>
    <col min="3" max="3" width="16.7265625" style="31" customWidth="1"/>
    <col min="5" max="5" width="8.7265625" customWidth="1"/>
  </cols>
  <sheetData>
    <row r="1" spans="1:3" hidden="1" x14ac:dyDescent="0.25">
      <c r="A1" s="29"/>
      <c r="B1" s="29"/>
      <c r="C1" s="30"/>
    </row>
    <row r="2" spans="1:3" hidden="1" x14ac:dyDescent="0.25">
      <c r="A2" s="84" t="str">
        <f>[1]Cover!A2</f>
        <v>CHN, Shanghai Campus Building 1 RF Project</v>
      </c>
      <c r="B2" s="84"/>
    </row>
    <row r="3" spans="1:3" hidden="1" x14ac:dyDescent="0.25">
      <c r="A3" s="85" t="str">
        <f>[1]Cover!A3</f>
        <v>Build General Contractor Works</v>
      </c>
      <c r="B3" s="85"/>
    </row>
    <row r="4" spans="1:3" hidden="1" x14ac:dyDescent="0.25">
      <c r="A4" s="85" t="str">
        <f>[1]Cover!A4</f>
        <v xml:space="preserve">Issue Date: </v>
      </c>
      <c r="B4" s="85"/>
    </row>
    <row r="5" spans="1:3" hidden="1" x14ac:dyDescent="0.25">
      <c r="A5" s="32"/>
      <c r="B5" s="32"/>
      <c r="C5" s="33"/>
    </row>
    <row r="6" spans="1:3" hidden="1" x14ac:dyDescent="0.25">
      <c r="A6" s="84" t="str">
        <f>[1]Cover!A6</f>
        <v>Name of Tenderer:__________________________________</v>
      </c>
      <c r="B6" s="84"/>
    </row>
    <row r="7" spans="1:3" hidden="1" x14ac:dyDescent="0.25">
      <c r="A7" s="34"/>
      <c r="B7" s="34"/>
      <c r="C7" s="35"/>
    </row>
    <row r="8" spans="1:3" ht="15.5" hidden="1" x14ac:dyDescent="0.25">
      <c r="A8" s="36" t="s">
        <v>0</v>
      </c>
      <c r="B8" s="34"/>
      <c r="C8" s="35"/>
    </row>
    <row r="9" spans="1:3" ht="15.5" x14ac:dyDescent="0.25">
      <c r="A9" s="37"/>
      <c r="B9" s="37"/>
      <c r="C9" s="100" t="s">
        <v>1</v>
      </c>
    </row>
    <row r="10" spans="1:3" ht="15.5" customHeight="1" x14ac:dyDescent="0.25">
      <c r="A10" s="86" t="s">
        <v>60</v>
      </c>
      <c r="B10" s="87">
        <v>38351.812814736739</v>
      </c>
      <c r="C10" s="101"/>
    </row>
    <row r="11" spans="1:3" ht="15.5" customHeight="1" x14ac:dyDescent="0.25">
      <c r="A11" s="86" t="s">
        <v>61</v>
      </c>
      <c r="B11" s="87">
        <f>B10*0.09290304</f>
        <v>3563</v>
      </c>
      <c r="C11" s="102"/>
    </row>
    <row r="12" spans="1:3" ht="26" x14ac:dyDescent="0.25">
      <c r="A12" s="38" t="s">
        <v>2</v>
      </c>
      <c r="B12" s="39" t="s">
        <v>3</v>
      </c>
      <c r="C12" s="40" t="s">
        <v>4</v>
      </c>
    </row>
    <row r="13" spans="1:3" ht="14.5" x14ac:dyDescent="0.3">
      <c r="A13" s="41"/>
      <c r="B13" s="42"/>
      <c r="C13" s="42"/>
    </row>
    <row r="14" spans="1:3" x14ac:dyDescent="0.25">
      <c r="A14" s="43" t="s">
        <v>5</v>
      </c>
      <c r="B14" s="44" t="s">
        <v>6</v>
      </c>
      <c r="C14" s="45">
        <v>106930.95</v>
      </c>
    </row>
    <row r="15" spans="1:3" x14ac:dyDescent="0.25">
      <c r="A15" s="43"/>
      <c r="B15" s="44"/>
      <c r="C15" s="46"/>
    </row>
    <row r="16" spans="1:3" ht="14.5" x14ac:dyDescent="0.3">
      <c r="A16" s="41"/>
      <c r="B16" s="42"/>
      <c r="C16" s="42"/>
    </row>
    <row r="17" spans="1:3" x14ac:dyDescent="0.25">
      <c r="A17" s="43" t="s">
        <v>7</v>
      </c>
      <c r="B17" s="44" t="s">
        <v>8</v>
      </c>
      <c r="C17" s="45">
        <v>24622.7</v>
      </c>
    </row>
    <row r="18" spans="1:3" x14ac:dyDescent="0.25">
      <c r="A18" s="43" t="s">
        <v>9</v>
      </c>
      <c r="B18" s="44" t="s">
        <v>10</v>
      </c>
      <c r="C18" s="45">
        <v>174052.83</v>
      </c>
    </row>
    <row r="19" spans="1:3" x14ac:dyDescent="0.25">
      <c r="A19" s="43" t="s">
        <v>11</v>
      </c>
      <c r="B19" s="44" t="s">
        <v>12</v>
      </c>
      <c r="C19" s="45">
        <v>85908.64</v>
      </c>
    </row>
    <row r="20" spans="1:3" x14ac:dyDescent="0.25">
      <c r="A20" s="43" t="s">
        <v>13</v>
      </c>
      <c r="B20" s="44" t="s">
        <v>14</v>
      </c>
      <c r="C20" s="45">
        <v>146344.87</v>
      </c>
    </row>
    <row r="21" spans="1:3" x14ac:dyDescent="0.25">
      <c r="A21" s="43" t="s">
        <v>15</v>
      </c>
      <c r="B21" s="44" t="s">
        <v>16</v>
      </c>
      <c r="C21" s="45">
        <v>93582.23</v>
      </c>
    </row>
    <row r="22" spans="1:3" x14ac:dyDescent="0.25">
      <c r="A22" s="43" t="s">
        <v>17</v>
      </c>
      <c r="B22" s="44" t="s">
        <v>18</v>
      </c>
      <c r="C22" s="45">
        <v>128154.3</v>
      </c>
    </row>
    <row r="23" spans="1:3" x14ac:dyDescent="0.25">
      <c r="A23" s="43" t="s">
        <v>19</v>
      </c>
      <c r="B23" s="44" t="s">
        <v>20</v>
      </c>
      <c r="C23" s="45">
        <v>89286.83</v>
      </c>
    </row>
    <row r="24" spans="1:3" x14ac:dyDescent="0.25">
      <c r="A24" s="43" t="s">
        <v>21</v>
      </c>
      <c r="B24" s="44" t="s">
        <v>22</v>
      </c>
      <c r="C24" s="45">
        <v>73480.75</v>
      </c>
    </row>
    <row r="25" spans="1:3" x14ac:dyDescent="0.25">
      <c r="A25" s="43" t="s">
        <v>23</v>
      </c>
      <c r="B25" s="44" t="s">
        <v>24</v>
      </c>
      <c r="C25" s="45">
        <v>9376.52</v>
      </c>
    </row>
    <row r="26" spans="1:3" x14ac:dyDescent="0.25">
      <c r="A26" s="43" t="s">
        <v>25</v>
      </c>
      <c r="B26" s="44" t="s">
        <v>26</v>
      </c>
      <c r="C26" s="45">
        <v>11870.89</v>
      </c>
    </row>
    <row r="27" spans="1:3" x14ac:dyDescent="0.25">
      <c r="A27" s="43" t="s">
        <v>27</v>
      </c>
      <c r="B27" s="44" t="s">
        <v>28</v>
      </c>
      <c r="C27" s="45">
        <v>7457.96</v>
      </c>
    </row>
    <row r="28" spans="1:3" x14ac:dyDescent="0.25">
      <c r="A28" s="43" t="s">
        <v>29</v>
      </c>
      <c r="B28" s="44" t="s">
        <v>30</v>
      </c>
      <c r="C28" s="45">
        <v>12298</v>
      </c>
    </row>
    <row r="29" spans="1:3" x14ac:dyDescent="0.25">
      <c r="A29" s="43" t="s">
        <v>31</v>
      </c>
      <c r="B29" s="44" t="s">
        <v>32</v>
      </c>
      <c r="C29" s="45">
        <v>73511.399999999994</v>
      </c>
    </row>
    <row r="30" spans="1:3" x14ac:dyDescent="0.25">
      <c r="A30" s="43"/>
      <c r="B30" s="44"/>
      <c r="C30" s="46"/>
    </row>
    <row r="31" spans="1:3" ht="14.5" x14ac:dyDescent="0.3">
      <c r="A31" s="41"/>
      <c r="B31" s="42"/>
      <c r="C31" s="42"/>
    </row>
    <row r="32" spans="1:3" x14ac:dyDescent="0.25">
      <c r="A32" s="43" t="s">
        <v>33</v>
      </c>
      <c r="B32" s="44" t="s">
        <v>34</v>
      </c>
      <c r="C32" s="45">
        <v>53971.85</v>
      </c>
    </row>
    <row r="33" spans="1:3" x14ac:dyDescent="0.25">
      <c r="A33" s="43" t="s">
        <v>35</v>
      </c>
      <c r="B33" s="44" t="s">
        <v>36</v>
      </c>
      <c r="C33" s="45">
        <v>197688.05</v>
      </c>
    </row>
    <row r="34" spans="1:3" x14ac:dyDescent="0.25">
      <c r="A34" s="43" t="s">
        <v>37</v>
      </c>
      <c r="B34" s="44" t="s">
        <v>38</v>
      </c>
      <c r="C34" s="45">
        <v>5332.53</v>
      </c>
    </row>
    <row r="35" spans="1:3" x14ac:dyDescent="0.25">
      <c r="A35" s="43" t="s">
        <v>39</v>
      </c>
      <c r="B35" s="44" t="s">
        <v>40</v>
      </c>
      <c r="C35" s="45">
        <v>195559.79</v>
      </c>
    </row>
    <row r="36" spans="1:3" x14ac:dyDescent="0.25">
      <c r="A36" s="43" t="s">
        <v>41</v>
      </c>
      <c r="B36" s="44" t="s">
        <v>42</v>
      </c>
      <c r="C36" s="45">
        <v>81696.02</v>
      </c>
    </row>
    <row r="37" spans="1:3" x14ac:dyDescent="0.25">
      <c r="A37" s="43" t="s">
        <v>43</v>
      </c>
      <c r="B37" s="44" t="s">
        <v>44</v>
      </c>
      <c r="C37" s="45">
        <v>408362.16</v>
      </c>
    </row>
    <row r="38" spans="1:3" x14ac:dyDescent="0.25">
      <c r="A38" s="43" t="s">
        <v>45</v>
      </c>
      <c r="B38" s="44" t="s">
        <v>46</v>
      </c>
      <c r="C38" s="45">
        <v>40835.1</v>
      </c>
    </row>
    <row r="39" spans="1:3" x14ac:dyDescent="0.25">
      <c r="A39" s="43" t="s">
        <v>47</v>
      </c>
      <c r="B39" s="44" t="s">
        <v>48</v>
      </c>
      <c r="C39" s="45">
        <v>58611.61</v>
      </c>
    </row>
    <row r="40" spans="1:3" x14ac:dyDescent="0.25">
      <c r="A40" s="43" t="s">
        <v>49</v>
      </c>
      <c r="B40" s="44" t="s">
        <v>50</v>
      </c>
      <c r="C40" s="45">
        <v>102504.79</v>
      </c>
    </row>
    <row r="41" spans="1:3" x14ac:dyDescent="0.25">
      <c r="A41" s="43" t="s">
        <v>51</v>
      </c>
      <c r="B41" s="44" t="s">
        <v>52</v>
      </c>
      <c r="C41" s="45">
        <v>13980.55</v>
      </c>
    </row>
    <row r="42" spans="1:3" x14ac:dyDescent="0.25">
      <c r="A42" s="43"/>
      <c r="B42" s="44"/>
      <c r="C42" s="46"/>
    </row>
    <row r="43" spans="1:3" ht="15.5" x14ac:dyDescent="0.35">
      <c r="A43" s="47"/>
      <c r="B43" s="48" t="s">
        <v>53</v>
      </c>
      <c r="C43" s="49">
        <f>SUM(C14:C41)</f>
        <v>2195421.3199999998</v>
      </c>
    </row>
    <row r="44" spans="1:3" x14ac:dyDescent="0.25">
      <c r="A44" s="42"/>
      <c r="B44" s="42"/>
      <c r="C44" s="42"/>
    </row>
    <row r="45" spans="1:3" x14ac:dyDescent="0.25">
      <c r="A45" s="42"/>
      <c r="B45" s="42"/>
      <c r="C45" s="42"/>
    </row>
    <row r="46" spans="1:3" x14ac:dyDescent="0.25">
      <c r="A46" s="42"/>
      <c r="B46" s="42"/>
      <c r="C46" s="42"/>
    </row>
    <row r="47" spans="1:3" x14ac:dyDescent="0.25">
      <c r="A47" s="42"/>
      <c r="B47" s="42"/>
      <c r="C47" s="42"/>
    </row>
  </sheetData>
  <mergeCells count="5">
    <mergeCell ref="A2:B2"/>
    <mergeCell ref="A3:B3"/>
    <mergeCell ref="A4:B4"/>
    <mergeCell ref="A6:B6"/>
    <mergeCell ref="C9:C11"/>
  </mergeCells>
  <pageMargins left="0.7" right="0.7" top="0.75" bottom="0.75" header="0.3" footer="0.3"/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B2A3B-41E1-4565-9A61-3635981F8B90}">
  <dimension ref="A1:F148"/>
  <sheetViews>
    <sheetView topLeftCell="A9" workbookViewId="0">
      <selection activeCell="C9" sqref="C9:C11"/>
    </sheetView>
  </sheetViews>
  <sheetFormatPr defaultColWidth="8.453125" defaultRowHeight="12.5" outlineLevelRow="1" x14ac:dyDescent="0.25"/>
  <cols>
    <col min="1" max="1" width="8.7265625" style="26" customWidth="1"/>
    <col min="2" max="2" width="44.54296875" style="27" customWidth="1"/>
    <col min="3" max="3" width="16.7265625" style="31" customWidth="1"/>
    <col min="4" max="16384" width="8.453125" style="27"/>
  </cols>
  <sheetData>
    <row r="1" spans="1:6" s="54" customFormat="1" ht="15.5" hidden="1" x14ac:dyDescent="0.25">
      <c r="A1" s="1"/>
      <c r="B1" s="1"/>
      <c r="C1" s="52"/>
    </row>
    <row r="2" spans="1:6" ht="19.5" hidden="1" customHeight="1" thickBot="1" x14ac:dyDescent="0.3">
      <c r="A2" s="80" t="str">
        <f>[1]Cover!A2</f>
        <v>CHN, Shanghai Campus Building 1 RF Project</v>
      </c>
      <c r="B2" s="80"/>
      <c r="C2" s="55"/>
    </row>
    <row r="3" spans="1:6" ht="19.5" hidden="1" customHeight="1" thickBot="1" x14ac:dyDescent="0.3">
      <c r="A3" s="81" t="str">
        <f>[1]Cover!A3</f>
        <v>Build General Contractor Works</v>
      </c>
      <c r="B3" s="81"/>
      <c r="C3" s="55"/>
    </row>
    <row r="4" spans="1:6" hidden="1" x14ac:dyDescent="0.25">
      <c r="A4" s="81" t="str">
        <f>[1]Cover!A4</f>
        <v xml:space="preserve">Issue Date: </v>
      </c>
      <c r="B4" s="81"/>
      <c r="C4" s="55"/>
    </row>
    <row r="5" spans="1:6" hidden="1" x14ac:dyDescent="0.25">
      <c r="A5" s="2"/>
      <c r="B5" s="2"/>
      <c r="C5" s="55"/>
    </row>
    <row r="6" spans="1:6" ht="19.5" hidden="1" customHeight="1" thickBot="1" x14ac:dyDescent="0.3">
      <c r="A6" s="80" t="str">
        <f>[1]Cover!A6</f>
        <v>Name of Tenderer:__________________________________</v>
      </c>
      <c r="B6" s="80"/>
      <c r="C6" s="57"/>
    </row>
    <row r="7" spans="1:6" s="54" customFormat="1" ht="15.5" hidden="1" x14ac:dyDescent="0.25">
      <c r="A7" s="3"/>
      <c r="B7" s="3"/>
      <c r="C7" s="35"/>
    </row>
    <row r="8" spans="1:6" s="54" customFormat="1" ht="19.5" hidden="1" customHeight="1" thickBot="1" x14ac:dyDescent="0.3">
      <c r="A8" s="4" t="s">
        <v>0</v>
      </c>
      <c r="B8" s="3"/>
      <c r="C8" s="35"/>
    </row>
    <row r="9" spans="1:6" s="60" customFormat="1" ht="20.149999999999999" customHeight="1" x14ac:dyDescent="0.25">
      <c r="A9" s="5"/>
      <c r="B9" s="5"/>
      <c r="C9" s="97" t="s">
        <v>54</v>
      </c>
      <c r="D9" s="59"/>
      <c r="E9" s="59"/>
      <c r="F9" s="59"/>
    </row>
    <row r="10" spans="1:6" customFormat="1" ht="15.5" customHeight="1" x14ac:dyDescent="0.25">
      <c r="A10" s="86" t="s">
        <v>60</v>
      </c>
      <c r="B10" s="87">
        <v>38351.812814736739</v>
      </c>
      <c r="C10" s="98"/>
    </row>
    <row r="11" spans="1:6" customFormat="1" ht="16" customHeight="1" thickBot="1" x14ac:dyDescent="0.3">
      <c r="A11" s="86" t="s">
        <v>61</v>
      </c>
      <c r="B11" s="87">
        <f>B10*0.09290304</f>
        <v>3563</v>
      </c>
      <c r="C11" s="99"/>
    </row>
    <row r="12" spans="1:6" s="67" customFormat="1" ht="43" customHeight="1" x14ac:dyDescent="0.25">
      <c r="A12" s="6" t="s">
        <v>2</v>
      </c>
      <c r="B12" s="7" t="s">
        <v>3</v>
      </c>
      <c r="C12" s="61" t="s">
        <v>4</v>
      </c>
      <c r="D12" s="65"/>
      <c r="E12" s="65"/>
      <c r="F12" s="66"/>
    </row>
    <row r="13" spans="1:6" ht="13" outlineLevel="1" x14ac:dyDescent="0.3">
      <c r="A13" s="8"/>
      <c r="B13" s="82" t="s">
        <v>6</v>
      </c>
      <c r="C13" s="83"/>
      <c r="D13" s="66"/>
      <c r="E13" s="66"/>
      <c r="F13" s="66"/>
    </row>
    <row r="14" spans="1:6" s="67" customFormat="1" ht="13" outlineLevel="1" x14ac:dyDescent="0.25">
      <c r="A14" s="9" t="s">
        <v>5</v>
      </c>
      <c r="B14" s="10" t="s">
        <v>6</v>
      </c>
      <c r="C14" s="11">
        <v>203359.01</v>
      </c>
      <c r="D14" s="66"/>
      <c r="E14" s="66"/>
      <c r="F14" s="66"/>
    </row>
    <row r="15" spans="1:6" s="67" customFormat="1" ht="13" outlineLevel="1" x14ac:dyDescent="0.25">
      <c r="A15" s="12"/>
      <c r="B15" s="13"/>
      <c r="C15" s="14"/>
      <c r="D15" s="65"/>
      <c r="E15" s="65"/>
      <c r="F15" s="66"/>
    </row>
    <row r="16" spans="1:6" ht="13" outlineLevel="1" x14ac:dyDescent="0.3">
      <c r="A16" s="15"/>
      <c r="B16" s="78" t="s">
        <v>58</v>
      </c>
      <c r="C16" s="79"/>
      <c r="D16" s="66"/>
      <c r="E16" s="66"/>
      <c r="F16" s="66"/>
    </row>
    <row r="17" spans="1:6" outlineLevel="1" x14ac:dyDescent="0.25">
      <c r="A17" s="12" t="s">
        <v>7</v>
      </c>
      <c r="B17" s="13" t="s">
        <v>8</v>
      </c>
      <c r="C17" s="16">
        <v>45378.2</v>
      </c>
      <c r="D17" s="66"/>
      <c r="E17" s="66"/>
      <c r="F17" s="66"/>
    </row>
    <row r="18" spans="1:6" outlineLevel="1" x14ac:dyDescent="0.25">
      <c r="A18" s="12" t="s">
        <v>9</v>
      </c>
      <c r="B18" s="13" t="s">
        <v>10</v>
      </c>
      <c r="C18" s="16">
        <v>167812.03</v>
      </c>
      <c r="D18" s="66"/>
      <c r="E18" s="66"/>
      <c r="F18" s="66"/>
    </row>
    <row r="19" spans="1:6" outlineLevel="1" x14ac:dyDescent="0.25">
      <c r="A19" s="12" t="s">
        <v>11</v>
      </c>
      <c r="B19" s="13" t="s">
        <v>12</v>
      </c>
      <c r="C19" s="16">
        <v>117013.17</v>
      </c>
      <c r="D19" s="66"/>
      <c r="E19" s="66"/>
      <c r="F19" s="66"/>
    </row>
    <row r="20" spans="1:6" outlineLevel="1" x14ac:dyDescent="0.25">
      <c r="A20" s="12" t="s">
        <v>13</v>
      </c>
      <c r="B20" s="13" t="s">
        <v>14</v>
      </c>
      <c r="C20" s="16">
        <v>104215.94</v>
      </c>
      <c r="D20" s="66"/>
      <c r="E20" s="66"/>
      <c r="F20" s="66"/>
    </row>
    <row r="21" spans="1:6" outlineLevel="1" x14ac:dyDescent="0.25">
      <c r="A21" s="12" t="s">
        <v>15</v>
      </c>
      <c r="B21" s="13" t="s">
        <v>16</v>
      </c>
      <c r="C21" s="16">
        <v>103562.88</v>
      </c>
      <c r="D21" s="66"/>
      <c r="E21" s="66"/>
      <c r="F21" s="66"/>
    </row>
    <row r="22" spans="1:6" outlineLevel="1" x14ac:dyDescent="0.25">
      <c r="A22" s="12" t="s">
        <v>17</v>
      </c>
      <c r="B22" s="13" t="s">
        <v>18</v>
      </c>
      <c r="C22" s="16">
        <v>89650.09</v>
      </c>
      <c r="D22" s="66"/>
      <c r="E22" s="66"/>
      <c r="F22" s="66"/>
    </row>
    <row r="23" spans="1:6" outlineLevel="1" x14ac:dyDescent="0.25">
      <c r="A23" s="12" t="s">
        <v>19</v>
      </c>
      <c r="B23" s="13" t="s">
        <v>20</v>
      </c>
      <c r="C23" s="16">
        <v>101566.03</v>
      </c>
      <c r="D23" s="66"/>
      <c r="E23" s="66"/>
      <c r="F23" s="66"/>
    </row>
    <row r="24" spans="1:6" outlineLevel="1" x14ac:dyDescent="0.25">
      <c r="A24" s="12" t="s">
        <v>21</v>
      </c>
      <c r="B24" s="13" t="s">
        <v>22</v>
      </c>
      <c r="C24" s="16">
        <v>62861.53</v>
      </c>
      <c r="D24" s="66"/>
      <c r="E24" s="66"/>
      <c r="F24" s="66"/>
    </row>
    <row r="25" spans="1:6" outlineLevel="1" x14ac:dyDescent="0.25">
      <c r="A25" s="12" t="s">
        <v>23</v>
      </c>
      <c r="B25" s="13" t="s">
        <v>24</v>
      </c>
      <c r="C25" s="16">
        <v>13435.12</v>
      </c>
      <c r="D25" s="66"/>
      <c r="E25" s="66"/>
      <c r="F25" s="66"/>
    </row>
    <row r="26" spans="1:6" outlineLevel="1" x14ac:dyDescent="0.25">
      <c r="A26" s="12" t="s">
        <v>25</v>
      </c>
      <c r="B26" s="13" t="s">
        <v>26</v>
      </c>
      <c r="C26" s="16">
        <v>31260.2</v>
      </c>
      <c r="D26" s="66"/>
      <c r="E26" s="66"/>
      <c r="F26" s="66"/>
    </row>
    <row r="27" spans="1:6" outlineLevel="1" x14ac:dyDescent="0.25">
      <c r="A27" s="12" t="s">
        <v>27</v>
      </c>
      <c r="B27" s="13" t="s">
        <v>28</v>
      </c>
      <c r="C27" s="16">
        <v>3466.25</v>
      </c>
      <c r="D27" s="66"/>
      <c r="E27" s="66"/>
      <c r="F27" s="66"/>
    </row>
    <row r="28" spans="1:6" outlineLevel="1" x14ac:dyDescent="0.25">
      <c r="A28" s="12" t="s">
        <v>29</v>
      </c>
      <c r="B28" s="13" t="s">
        <v>30</v>
      </c>
      <c r="C28" s="16">
        <v>9145.36</v>
      </c>
      <c r="D28" s="66"/>
      <c r="E28" s="66"/>
      <c r="F28" s="66"/>
    </row>
    <row r="29" spans="1:6" outlineLevel="1" x14ac:dyDescent="0.25">
      <c r="A29" s="12" t="s">
        <v>31</v>
      </c>
      <c r="B29" s="13" t="s">
        <v>32</v>
      </c>
      <c r="C29" s="16">
        <v>37257.4</v>
      </c>
      <c r="D29" s="66"/>
      <c r="E29" s="66"/>
      <c r="F29" s="66"/>
    </row>
    <row r="30" spans="1:6" outlineLevel="1" x14ac:dyDescent="0.25">
      <c r="A30" s="12"/>
      <c r="B30" s="13"/>
      <c r="C30" s="14"/>
      <c r="D30" s="66"/>
      <c r="E30" s="66"/>
      <c r="F30" s="66"/>
    </row>
    <row r="31" spans="1:6" ht="13" outlineLevel="1" x14ac:dyDescent="0.3">
      <c r="A31" s="15"/>
      <c r="B31" s="78" t="s">
        <v>59</v>
      </c>
      <c r="C31" s="79"/>
      <c r="D31" s="66"/>
      <c r="E31" s="66"/>
      <c r="F31" s="66"/>
    </row>
    <row r="32" spans="1:6" outlineLevel="1" x14ac:dyDescent="0.25">
      <c r="A32" s="12" t="s">
        <v>33</v>
      </c>
      <c r="B32" s="13" t="s">
        <v>34</v>
      </c>
      <c r="C32" s="16">
        <v>64881.03</v>
      </c>
      <c r="D32" s="66"/>
      <c r="E32" s="66"/>
      <c r="F32" s="66"/>
    </row>
    <row r="33" spans="1:6" s="67" customFormat="1" ht="13" outlineLevel="1" x14ac:dyDescent="0.25">
      <c r="A33" s="12" t="s">
        <v>35</v>
      </c>
      <c r="B33" s="13" t="s">
        <v>36</v>
      </c>
      <c r="C33" s="16">
        <v>155257.57999999999</v>
      </c>
      <c r="D33" s="66"/>
      <c r="E33" s="65"/>
      <c r="F33" s="66"/>
    </row>
    <row r="34" spans="1:6" outlineLevel="1" x14ac:dyDescent="0.25">
      <c r="A34" s="12" t="s">
        <v>37</v>
      </c>
      <c r="B34" s="13" t="s">
        <v>38</v>
      </c>
      <c r="C34" s="16">
        <v>4652.32</v>
      </c>
      <c r="D34" s="66"/>
      <c r="E34" s="66"/>
      <c r="F34" s="66"/>
    </row>
    <row r="35" spans="1:6" s="70" customFormat="1" ht="15.5" outlineLevel="1" x14ac:dyDescent="0.25">
      <c r="A35" s="12" t="s">
        <v>39</v>
      </c>
      <c r="B35" s="13" t="s">
        <v>40</v>
      </c>
      <c r="C35" s="16">
        <v>186139.66</v>
      </c>
      <c r="D35" s="68"/>
      <c r="E35" s="69"/>
      <c r="F35" s="68"/>
    </row>
    <row r="36" spans="1:6" s="67" customFormat="1" ht="13" x14ac:dyDescent="0.25">
      <c r="A36" s="12" t="s">
        <v>41</v>
      </c>
      <c r="B36" s="13" t="s">
        <v>42</v>
      </c>
      <c r="C36" s="16">
        <v>57700.22</v>
      </c>
      <c r="D36" s="65"/>
      <c r="E36" s="65"/>
      <c r="F36" s="66"/>
    </row>
    <row r="37" spans="1:6" s="73" customFormat="1" ht="13" x14ac:dyDescent="0.25">
      <c r="A37" s="12" t="s">
        <v>43</v>
      </c>
      <c r="B37" s="13" t="s">
        <v>44</v>
      </c>
      <c r="C37" s="16">
        <v>440138.44</v>
      </c>
      <c r="D37" s="71"/>
      <c r="E37" s="71"/>
      <c r="F37" s="72"/>
    </row>
    <row r="38" spans="1:6" x14ac:dyDescent="0.25">
      <c r="A38" s="12" t="s">
        <v>45</v>
      </c>
      <c r="B38" s="13" t="s">
        <v>46</v>
      </c>
      <c r="C38" s="16">
        <v>58009.91</v>
      </c>
    </row>
    <row r="39" spans="1:6" s="74" customFormat="1" ht="18" x14ac:dyDescent="0.25">
      <c r="A39" s="12" t="s">
        <v>47</v>
      </c>
      <c r="B39" s="13" t="s">
        <v>48</v>
      </c>
      <c r="C39" s="16">
        <v>56446.58</v>
      </c>
    </row>
    <row r="40" spans="1:6" x14ac:dyDescent="0.25">
      <c r="A40" s="12" t="s">
        <v>49</v>
      </c>
      <c r="B40" s="13" t="s">
        <v>50</v>
      </c>
      <c r="C40" s="16">
        <v>107034.9</v>
      </c>
    </row>
    <row r="41" spans="1:6" x14ac:dyDescent="0.25">
      <c r="A41" s="17" t="s">
        <v>51</v>
      </c>
      <c r="B41" s="18" t="s">
        <v>52</v>
      </c>
      <c r="C41" s="19">
        <v>30585.73</v>
      </c>
    </row>
    <row r="42" spans="1:6" ht="13" thickBot="1" x14ac:dyDescent="0.3">
      <c r="A42" s="20"/>
      <c r="B42" s="21"/>
      <c r="C42" s="22"/>
    </row>
    <row r="43" spans="1:6" ht="16" thickTop="1" x14ac:dyDescent="0.35">
      <c r="A43" s="23"/>
      <c r="B43" s="24" t="s">
        <v>53</v>
      </c>
      <c r="C43" s="25">
        <f>SUM(C14:C41)</f>
        <v>2250829.5799999996</v>
      </c>
    </row>
    <row r="44" spans="1:6" ht="14" x14ac:dyDescent="0.25">
      <c r="A44"/>
      <c r="B44"/>
      <c r="C44"/>
    </row>
    <row r="45" spans="1:6" ht="14" x14ac:dyDescent="0.25">
      <c r="A45"/>
      <c r="B45"/>
      <c r="C45"/>
    </row>
    <row r="46" spans="1:6" ht="14" x14ac:dyDescent="0.25">
      <c r="A46"/>
      <c r="B46"/>
      <c r="C46"/>
    </row>
    <row r="47" spans="1:6" ht="14" x14ac:dyDescent="0.25">
      <c r="A47"/>
      <c r="B47"/>
      <c r="C47"/>
    </row>
    <row r="48" spans="1:6" x14ac:dyDescent="0.25">
      <c r="C48" s="28"/>
    </row>
    <row r="49" spans="3:3" x14ac:dyDescent="0.25">
      <c r="C49" s="28"/>
    </row>
    <row r="50" spans="3:3" x14ac:dyDescent="0.25">
      <c r="C50" s="28"/>
    </row>
    <row r="51" spans="3:3" x14ac:dyDescent="0.25">
      <c r="C51" s="28"/>
    </row>
    <row r="52" spans="3:3" x14ac:dyDescent="0.25">
      <c r="C52" s="28"/>
    </row>
    <row r="53" spans="3:3" x14ac:dyDescent="0.25">
      <c r="C53" s="28"/>
    </row>
    <row r="54" spans="3:3" x14ac:dyDescent="0.25">
      <c r="C54" s="28"/>
    </row>
    <row r="55" spans="3:3" x14ac:dyDescent="0.25">
      <c r="C55" s="28"/>
    </row>
    <row r="56" spans="3:3" x14ac:dyDescent="0.25">
      <c r="C56" s="28"/>
    </row>
    <row r="57" spans="3:3" x14ac:dyDescent="0.25">
      <c r="C57" s="28"/>
    </row>
    <row r="58" spans="3:3" x14ac:dyDescent="0.25">
      <c r="C58" s="28"/>
    </row>
    <row r="59" spans="3:3" x14ac:dyDescent="0.25">
      <c r="C59" s="28"/>
    </row>
    <row r="60" spans="3:3" x14ac:dyDescent="0.25">
      <c r="C60" s="28"/>
    </row>
    <row r="61" spans="3:3" x14ac:dyDescent="0.25">
      <c r="C61" s="28"/>
    </row>
    <row r="62" spans="3:3" x14ac:dyDescent="0.25">
      <c r="C62" s="28"/>
    </row>
    <row r="63" spans="3:3" x14ac:dyDescent="0.25">
      <c r="C63" s="28"/>
    </row>
    <row r="64" spans="3:3" x14ac:dyDescent="0.25">
      <c r="C64" s="28"/>
    </row>
    <row r="65" spans="3:3" x14ac:dyDescent="0.25">
      <c r="C65" s="28"/>
    </row>
    <row r="66" spans="3:3" x14ac:dyDescent="0.25">
      <c r="C66" s="28"/>
    </row>
    <row r="67" spans="3:3" x14ac:dyDescent="0.25">
      <c r="C67" s="28"/>
    </row>
    <row r="68" spans="3:3" x14ac:dyDescent="0.25">
      <c r="C68" s="28"/>
    </row>
    <row r="69" spans="3:3" x14ac:dyDescent="0.25">
      <c r="C69" s="28"/>
    </row>
    <row r="70" spans="3:3" x14ac:dyDescent="0.25">
      <c r="C70" s="28"/>
    </row>
    <row r="71" spans="3:3" x14ac:dyDescent="0.25">
      <c r="C71" s="28"/>
    </row>
    <row r="72" spans="3:3" x14ac:dyDescent="0.25">
      <c r="C72" s="28"/>
    </row>
    <row r="73" spans="3:3" x14ac:dyDescent="0.25">
      <c r="C73" s="28"/>
    </row>
    <row r="74" spans="3:3" x14ac:dyDescent="0.25">
      <c r="C74" s="28"/>
    </row>
    <row r="75" spans="3:3" x14ac:dyDescent="0.25">
      <c r="C75" s="28"/>
    </row>
    <row r="76" spans="3:3" x14ac:dyDescent="0.25">
      <c r="C76" s="28"/>
    </row>
    <row r="77" spans="3:3" x14ac:dyDescent="0.25">
      <c r="C77" s="28"/>
    </row>
    <row r="78" spans="3:3" x14ac:dyDescent="0.25">
      <c r="C78" s="28"/>
    </row>
    <row r="79" spans="3:3" x14ac:dyDescent="0.25">
      <c r="C79" s="28"/>
    </row>
    <row r="80" spans="3:3" x14ac:dyDescent="0.25">
      <c r="C80" s="28"/>
    </row>
    <row r="81" spans="3:3" x14ac:dyDescent="0.25">
      <c r="C81" s="28"/>
    </row>
    <row r="82" spans="3:3" x14ac:dyDescent="0.25">
      <c r="C82" s="28"/>
    </row>
    <row r="83" spans="3:3" x14ac:dyDescent="0.25">
      <c r="C83" s="28"/>
    </row>
    <row r="84" spans="3:3" x14ac:dyDescent="0.25">
      <c r="C84" s="28"/>
    </row>
    <row r="85" spans="3:3" x14ac:dyDescent="0.25">
      <c r="C85" s="28"/>
    </row>
    <row r="86" spans="3:3" x14ac:dyDescent="0.25">
      <c r="C86" s="28"/>
    </row>
    <row r="87" spans="3:3" x14ac:dyDescent="0.25">
      <c r="C87" s="28"/>
    </row>
    <row r="88" spans="3:3" x14ac:dyDescent="0.25">
      <c r="C88" s="28"/>
    </row>
    <row r="89" spans="3:3" x14ac:dyDescent="0.25">
      <c r="C89" s="28"/>
    </row>
    <row r="90" spans="3:3" x14ac:dyDescent="0.25">
      <c r="C90" s="28"/>
    </row>
    <row r="91" spans="3:3" x14ac:dyDescent="0.25">
      <c r="C91" s="28"/>
    </row>
    <row r="92" spans="3:3" x14ac:dyDescent="0.25">
      <c r="C92" s="28"/>
    </row>
    <row r="93" spans="3:3" x14ac:dyDescent="0.25">
      <c r="C93" s="28"/>
    </row>
    <row r="94" spans="3:3" x14ac:dyDescent="0.25">
      <c r="C94" s="28"/>
    </row>
    <row r="95" spans="3:3" x14ac:dyDescent="0.25">
      <c r="C95" s="28"/>
    </row>
    <row r="96" spans="3:3" x14ac:dyDescent="0.25">
      <c r="C96" s="28"/>
    </row>
    <row r="97" spans="3:3" x14ac:dyDescent="0.25">
      <c r="C97" s="28"/>
    </row>
    <row r="98" spans="3:3" x14ac:dyDescent="0.25">
      <c r="C98" s="28"/>
    </row>
    <row r="99" spans="3:3" x14ac:dyDescent="0.25">
      <c r="C99" s="28"/>
    </row>
    <row r="100" spans="3:3" x14ac:dyDescent="0.25">
      <c r="C100" s="28"/>
    </row>
    <row r="101" spans="3:3" x14ac:dyDescent="0.25">
      <c r="C101" s="28"/>
    </row>
    <row r="102" spans="3:3" x14ac:dyDescent="0.25">
      <c r="C102" s="28"/>
    </row>
    <row r="103" spans="3:3" x14ac:dyDescent="0.25">
      <c r="C103" s="28"/>
    </row>
    <row r="104" spans="3:3" x14ac:dyDescent="0.25">
      <c r="C104" s="28"/>
    </row>
    <row r="105" spans="3:3" x14ac:dyDescent="0.25">
      <c r="C105" s="28"/>
    </row>
    <row r="106" spans="3:3" x14ac:dyDescent="0.25">
      <c r="C106" s="28"/>
    </row>
    <row r="107" spans="3:3" x14ac:dyDescent="0.25">
      <c r="C107" s="28"/>
    </row>
    <row r="108" spans="3:3" x14ac:dyDescent="0.25">
      <c r="C108" s="28"/>
    </row>
    <row r="109" spans="3:3" x14ac:dyDescent="0.25">
      <c r="C109" s="28"/>
    </row>
    <row r="110" spans="3:3" x14ac:dyDescent="0.25">
      <c r="C110" s="28"/>
    </row>
    <row r="111" spans="3:3" x14ac:dyDescent="0.25">
      <c r="C111" s="28"/>
    </row>
    <row r="112" spans="3:3" x14ac:dyDescent="0.25">
      <c r="C112" s="28"/>
    </row>
    <row r="113" spans="3:3" x14ac:dyDescent="0.25">
      <c r="C113" s="28"/>
    </row>
    <row r="114" spans="3:3" x14ac:dyDescent="0.25">
      <c r="C114" s="28"/>
    </row>
    <row r="115" spans="3:3" x14ac:dyDescent="0.25">
      <c r="C115" s="28"/>
    </row>
    <row r="116" spans="3:3" x14ac:dyDescent="0.25">
      <c r="C116" s="28"/>
    </row>
    <row r="117" spans="3:3" x14ac:dyDescent="0.25">
      <c r="C117" s="28"/>
    </row>
    <row r="118" spans="3:3" x14ac:dyDescent="0.25">
      <c r="C118" s="28"/>
    </row>
    <row r="119" spans="3:3" x14ac:dyDescent="0.25">
      <c r="C119" s="28"/>
    </row>
    <row r="120" spans="3:3" x14ac:dyDescent="0.25">
      <c r="C120" s="28"/>
    </row>
    <row r="121" spans="3:3" x14ac:dyDescent="0.25">
      <c r="C121" s="28"/>
    </row>
    <row r="122" spans="3:3" x14ac:dyDescent="0.25">
      <c r="C122" s="28"/>
    </row>
    <row r="123" spans="3:3" x14ac:dyDescent="0.25">
      <c r="C123" s="28"/>
    </row>
    <row r="124" spans="3:3" x14ac:dyDescent="0.25">
      <c r="C124" s="28"/>
    </row>
    <row r="125" spans="3:3" x14ac:dyDescent="0.25">
      <c r="C125" s="28"/>
    </row>
    <row r="126" spans="3:3" x14ac:dyDescent="0.25">
      <c r="C126" s="28"/>
    </row>
    <row r="127" spans="3:3" x14ac:dyDescent="0.25">
      <c r="C127" s="28"/>
    </row>
    <row r="128" spans="3:3" x14ac:dyDescent="0.25">
      <c r="C128" s="28"/>
    </row>
    <row r="129" spans="3:3" x14ac:dyDescent="0.25">
      <c r="C129" s="28"/>
    </row>
    <row r="130" spans="3:3" x14ac:dyDescent="0.25">
      <c r="C130" s="28"/>
    </row>
    <row r="131" spans="3:3" x14ac:dyDescent="0.25">
      <c r="C131" s="28"/>
    </row>
    <row r="132" spans="3:3" x14ac:dyDescent="0.25">
      <c r="C132" s="28"/>
    </row>
    <row r="133" spans="3:3" x14ac:dyDescent="0.25">
      <c r="C133" s="28"/>
    </row>
    <row r="134" spans="3:3" x14ac:dyDescent="0.25">
      <c r="C134" s="28"/>
    </row>
    <row r="135" spans="3:3" x14ac:dyDescent="0.25">
      <c r="C135" s="28"/>
    </row>
    <row r="136" spans="3:3" x14ac:dyDescent="0.25">
      <c r="C136" s="28"/>
    </row>
    <row r="137" spans="3:3" x14ac:dyDescent="0.25">
      <c r="C137" s="28"/>
    </row>
    <row r="138" spans="3:3" x14ac:dyDescent="0.25">
      <c r="C138" s="28"/>
    </row>
    <row r="139" spans="3:3" x14ac:dyDescent="0.25">
      <c r="C139" s="28"/>
    </row>
    <row r="140" spans="3:3" x14ac:dyDescent="0.25">
      <c r="C140" s="28"/>
    </row>
    <row r="141" spans="3:3" x14ac:dyDescent="0.25">
      <c r="C141" s="28"/>
    </row>
    <row r="142" spans="3:3" x14ac:dyDescent="0.25">
      <c r="C142" s="28"/>
    </row>
    <row r="143" spans="3:3" x14ac:dyDescent="0.25">
      <c r="C143" s="28"/>
    </row>
    <row r="144" spans="3:3" x14ac:dyDescent="0.25">
      <c r="C144" s="28"/>
    </row>
    <row r="145" spans="3:3" x14ac:dyDescent="0.25">
      <c r="C145" s="28"/>
    </row>
    <row r="146" spans="3:3" x14ac:dyDescent="0.25">
      <c r="C146" s="28"/>
    </row>
    <row r="147" spans="3:3" x14ac:dyDescent="0.25">
      <c r="C147" s="28"/>
    </row>
    <row r="148" spans="3:3" x14ac:dyDescent="0.25">
      <c r="C148" s="28"/>
    </row>
  </sheetData>
  <mergeCells count="8">
    <mergeCell ref="B31:C31"/>
    <mergeCell ref="A2:B2"/>
    <mergeCell ref="A3:B3"/>
    <mergeCell ref="A4:B4"/>
    <mergeCell ref="A6:B6"/>
    <mergeCell ref="B13:C13"/>
    <mergeCell ref="B16:C16"/>
    <mergeCell ref="C9:C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44134-F6A6-4B16-8969-6222E45BF1C2}">
  <dimension ref="A1:H148"/>
  <sheetViews>
    <sheetView topLeftCell="A9" workbookViewId="0">
      <selection activeCell="C9" sqref="C9:C11"/>
    </sheetView>
  </sheetViews>
  <sheetFormatPr defaultColWidth="8.453125" defaultRowHeight="12.5" outlineLevelRow="1" x14ac:dyDescent="0.25"/>
  <cols>
    <col min="1" max="1" width="21.7265625" style="26" customWidth="1"/>
    <col min="2" max="2" width="44.54296875" style="27" customWidth="1"/>
    <col min="3" max="3" width="16.7265625" style="31" customWidth="1"/>
    <col min="4" max="16384" width="8.453125" style="27"/>
  </cols>
  <sheetData>
    <row r="1" spans="1:8" s="54" customFormat="1" ht="15.5" hidden="1" x14ac:dyDescent="0.25">
      <c r="A1" s="1"/>
      <c r="B1" s="1"/>
      <c r="C1" s="52"/>
    </row>
    <row r="2" spans="1:8" ht="19.5" hidden="1" customHeight="1" thickBot="1" x14ac:dyDescent="0.3">
      <c r="A2" s="80" t="str">
        <f>[1]Cover!A2</f>
        <v>CHN, Shanghai Campus Building 1 RF Project</v>
      </c>
      <c r="B2" s="80"/>
    </row>
    <row r="3" spans="1:8" ht="19.5" hidden="1" customHeight="1" thickBot="1" x14ac:dyDescent="0.3">
      <c r="A3" s="81" t="str">
        <f>[1]Cover!A3</f>
        <v>Build General Contractor Works</v>
      </c>
      <c r="B3" s="81"/>
    </row>
    <row r="4" spans="1:8" hidden="1" x14ac:dyDescent="0.25">
      <c r="A4" s="81" t="str">
        <f>[1]Cover!A4</f>
        <v xml:space="preserve">Issue Date: </v>
      </c>
      <c r="B4" s="81"/>
    </row>
    <row r="5" spans="1:8" hidden="1" x14ac:dyDescent="0.25">
      <c r="A5" s="2"/>
      <c r="B5" s="2"/>
      <c r="C5" s="33"/>
    </row>
    <row r="6" spans="1:8" ht="19.5" hidden="1" customHeight="1" thickBot="1" x14ac:dyDescent="0.3">
      <c r="A6" s="80" t="str">
        <f>[1]Cover!A6</f>
        <v>Name of Tenderer:__________________________________</v>
      </c>
      <c r="B6" s="80"/>
    </row>
    <row r="7" spans="1:8" s="54" customFormat="1" ht="15.5" hidden="1" x14ac:dyDescent="0.25">
      <c r="A7" s="3"/>
      <c r="B7" s="3"/>
      <c r="C7" s="35"/>
    </row>
    <row r="8" spans="1:8" s="54" customFormat="1" ht="19.5" hidden="1" customHeight="1" thickBot="1" x14ac:dyDescent="0.3">
      <c r="A8" s="4" t="s">
        <v>0</v>
      </c>
      <c r="B8" s="3"/>
      <c r="C8" s="35"/>
    </row>
    <row r="9" spans="1:8" s="60" customFormat="1" ht="20.149999999999999" customHeight="1" x14ac:dyDescent="0.25">
      <c r="A9" s="5"/>
      <c r="B9" s="5"/>
      <c r="C9" s="94" t="s">
        <v>55</v>
      </c>
      <c r="D9" s="59"/>
      <c r="E9" s="59"/>
      <c r="F9" s="59"/>
    </row>
    <row r="10" spans="1:8" s="60" customFormat="1" ht="20.149999999999999" customHeight="1" x14ac:dyDescent="0.25">
      <c r="A10" s="86" t="s">
        <v>60</v>
      </c>
      <c r="B10" s="87">
        <v>38351.812814736739</v>
      </c>
      <c r="C10" s="95"/>
      <c r="D10" s="59"/>
      <c r="E10" s="59"/>
      <c r="F10" s="59"/>
    </row>
    <row r="11" spans="1:8" s="60" customFormat="1" ht="20.149999999999999" customHeight="1" thickBot="1" x14ac:dyDescent="0.3">
      <c r="A11" s="86" t="s">
        <v>61</v>
      </c>
      <c r="B11" s="87">
        <f>B10*0.09290304</f>
        <v>3563</v>
      </c>
      <c r="C11" s="96"/>
      <c r="D11" s="59"/>
      <c r="E11" s="59"/>
      <c r="F11" s="59"/>
    </row>
    <row r="12" spans="1:8" s="67" customFormat="1" ht="43" customHeight="1" x14ac:dyDescent="0.25">
      <c r="A12" s="6" t="s">
        <v>2</v>
      </c>
      <c r="B12" s="7" t="s">
        <v>3</v>
      </c>
      <c r="C12" s="62" t="s">
        <v>4</v>
      </c>
      <c r="D12" s="65"/>
      <c r="E12" s="65"/>
      <c r="F12" s="66"/>
    </row>
    <row r="13" spans="1:8" ht="13" outlineLevel="1" x14ac:dyDescent="0.3">
      <c r="A13" s="8"/>
      <c r="B13" s="82" t="s">
        <v>6</v>
      </c>
      <c r="C13" s="83"/>
      <c r="D13" s="66"/>
      <c r="E13" s="66"/>
      <c r="F13" s="66"/>
    </row>
    <row r="14" spans="1:8" s="67" customFormat="1" ht="13" outlineLevel="1" x14ac:dyDescent="0.25">
      <c r="A14" s="9" t="s">
        <v>5</v>
      </c>
      <c r="B14" s="10" t="s">
        <v>6</v>
      </c>
      <c r="C14" s="11">
        <v>143315.07</v>
      </c>
      <c r="D14" s="66"/>
      <c r="E14" s="66"/>
      <c r="F14" s="66"/>
    </row>
    <row r="15" spans="1:8" s="67" customFormat="1" ht="13" outlineLevel="1" x14ac:dyDescent="0.25">
      <c r="A15" s="12"/>
      <c r="B15" s="13"/>
      <c r="C15" s="14"/>
      <c r="D15" s="65"/>
      <c r="E15" s="65"/>
      <c r="F15" s="66"/>
    </row>
    <row r="16" spans="1:8" ht="13" outlineLevel="1" x14ac:dyDescent="0.3">
      <c r="A16" s="15"/>
      <c r="B16" s="78" t="s">
        <v>58</v>
      </c>
      <c r="C16" s="79"/>
      <c r="D16" s="66"/>
      <c r="E16" s="66"/>
      <c r="F16" s="66"/>
      <c r="G16" s="66"/>
      <c r="H16" s="66"/>
    </row>
    <row r="17" spans="1:8" outlineLevel="1" x14ac:dyDescent="0.25">
      <c r="A17" s="12" t="s">
        <v>7</v>
      </c>
      <c r="B17" s="13" t="s">
        <v>8</v>
      </c>
      <c r="C17" s="16">
        <v>43468.52</v>
      </c>
      <c r="D17" s="66"/>
      <c r="E17" s="66"/>
      <c r="F17" s="66"/>
      <c r="G17" s="66"/>
      <c r="H17" s="66"/>
    </row>
    <row r="18" spans="1:8" outlineLevel="1" x14ac:dyDescent="0.25">
      <c r="A18" s="12" t="s">
        <v>9</v>
      </c>
      <c r="B18" s="13" t="s">
        <v>10</v>
      </c>
      <c r="C18" s="16">
        <v>226920.05</v>
      </c>
      <c r="D18" s="66"/>
      <c r="E18" s="66"/>
      <c r="F18" s="66"/>
      <c r="G18" s="66"/>
      <c r="H18" s="66"/>
    </row>
    <row r="19" spans="1:8" outlineLevel="1" x14ac:dyDescent="0.25">
      <c r="A19" s="12" t="s">
        <v>11</v>
      </c>
      <c r="B19" s="13" t="s">
        <v>12</v>
      </c>
      <c r="C19" s="16">
        <v>90904.639999999999</v>
      </c>
      <c r="D19" s="66"/>
      <c r="E19" s="66"/>
      <c r="F19" s="66"/>
    </row>
    <row r="20" spans="1:8" outlineLevel="1" x14ac:dyDescent="0.25">
      <c r="A20" s="12" t="s">
        <v>13</v>
      </c>
      <c r="B20" s="13" t="s">
        <v>14</v>
      </c>
      <c r="C20" s="16">
        <v>157603.43</v>
      </c>
      <c r="D20" s="66"/>
      <c r="E20" s="66"/>
      <c r="F20" s="66"/>
    </row>
    <row r="21" spans="1:8" outlineLevel="1" x14ac:dyDescent="0.25">
      <c r="A21" s="12" t="s">
        <v>15</v>
      </c>
      <c r="B21" s="13" t="s">
        <v>16</v>
      </c>
      <c r="C21" s="16">
        <v>76174.720000000001</v>
      </c>
      <c r="D21" s="66"/>
      <c r="E21" s="66"/>
      <c r="F21" s="66"/>
    </row>
    <row r="22" spans="1:8" outlineLevel="1" x14ac:dyDescent="0.25">
      <c r="A22" s="12" t="s">
        <v>17</v>
      </c>
      <c r="B22" s="13" t="s">
        <v>18</v>
      </c>
      <c r="C22" s="16">
        <v>91005.5</v>
      </c>
      <c r="D22" s="66"/>
      <c r="E22" s="66"/>
      <c r="F22" s="66"/>
    </row>
    <row r="23" spans="1:8" outlineLevel="1" x14ac:dyDescent="0.25">
      <c r="A23" s="12" t="s">
        <v>19</v>
      </c>
      <c r="B23" s="13" t="s">
        <v>20</v>
      </c>
      <c r="C23" s="16">
        <v>82873.039999999994</v>
      </c>
      <c r="D23" s="66"/>
      <c r="E23" s="66"/>
      <c r="F23" s="66"/>
    </row>
    <row r="24" spans="1:8" outlineLevel="1" x14ac:dyDescent="0.25">
      <c r="A24" s="12" t="s">
        <v>21</v>
      </c>
      <c r="B24" s="13" t="s">
        <v>22</v>
      </c>
      <c r="C24" s="16">
        <v>52383.01</v>
      </c>
      <c r="D24" s="66"/>
      <c r="E24" s="66"/>
      <c r="F24" s="66"/>
    </row>
    <row r="25" spans="1:8" outlineLevel="1" x14ac:dyDescent="0.25">
      <c r="A25" s="12" t="s">
        <v>23</v>
      </c>
      <c r="B25" s="13" t="s">
        <v>24</v>
      </c>
      <c r="C25" s="16">
        <v>6387.54</v>
      </c>
      <c r="D25" s="66"/>
      <c r="E25" s="66"/>
      <c r="F25" s="66"/>
    </row>
    <row r="26" spans="1:8" outlineLevel="1" x14ac:dyDescent="0.25">
      <c r="A26" s="12" t="s">
        <v>25</v>
      </c>
      <c r="B26" s="13" t="s">
        <v>26</v>
      </c>
      <c r="C26" s="16">
        <v>19402.16</v>
      </c>
      <c r="D26" s="66"/>
      <c r="E26" s="66"/>
      <c r="F26" s="66"/>
    </row>
    <row r="27" spans="1:8" outlineLevel="1" x14ac:dyDescent="0.25">
      <c r="A27" s="12" t="s">
        <v>27</v>
      </c>
      <c r="B27" s="13" t="s">
        <v>28</v>
      </c>
      <c r="C27" s="16">
        <v>18836.509999999998</v>
      </c>
      <c r="D27" s="66"/>
      <c r="E27" s="66"/>
      <c r="F27" s="66"/>
    </row>
    <row r="28" spans="1:8" outlineLevel="1" x14ac:dyDescent="0.25">
      <c r="A28" s="12" t="s">
        <v>29</v>
      </c>
      <c r="B28" s="13" t="s">
        <v>30</v>
      </c>
      <c r="C28" s="16">
        <v>31352.06</v>
      </c>
      <c r="D28" s="66"/>
      <c r="E28" s="66"/>
      <c r="F28" s="66"/>
    </row>
    <row r="29" spans="1:8" outlineLevel="1" x14ac:dyDescent="0.25">
      <c r="A29" s="12" t="s">
        <v>31</v>
      </c>
      <c r="B29" s="13" t="s">
        <v>32</v>
      </c>
      <c r="C29" s="16">
        <v>23227.34</v>
      </c>
      <c r="D29" s="66"/>
      <c r="E29" s="66"/>
      <c r="F29" s="66"/>
    </row>
    <row r="30" spans="1:8" outlineLevel="1" x14ac:dyDescent="0.25">
      <c r="A30" s="12"/>
      <c r="B30" s="13"/>
      <c r="C30" s="14"/>
      <c r="D30" s="66"/>
      <c r="E30" s="66"/>
      <c r="F30" s="66"/>
    </row>
    <row r="31" spans="1:8" ht="13" outlineLevel="1" x14ac:dyDescent="0.3">
      <c r="A31" s="15"/>
      <c r="B31" s="78" t="s">
        <v>59</v>
      </c>
      <c r="C31" s="79"/>
      <c r="D31" s="66"/>
      <c r="E31" s="66"/>
      <c r="F31" s="66"/>
    </row>
    <row r="32" spans="1:8" outlineLevel="1" x14ac:dyDescent="0.25">
      <c r="A32" s="12" t="s">
        <v>33</v>
      </c>
      <c r="B32" s="13" t="s">
        <v>34</v>
      </c>
      <c r="C32" s="16">
        <v>40421.120000000003</v>
      </c>
      <c r="D32" s="66"/>
      <c r="E32" s="66"/>
      <c r="F32" s="66"/>
    </row>
    <row r="33" spans="1:6" s="67" customFormat="1" ht="13" outlineLevel="1" x14ac:dyDescent="0.25">
      <c r="A33" s="12" t="s">
        <v>35</v>
      </c>
      <c r="B33" s="13" t="s">
        <v>36</v>
      </c>
      <c r="C33" s="16">
        <v>133020.79</v>
      </c>
      <c r="D33" s="66"/>
      <c r="E33" s="65"/>
      <c r="F33" s="66"/>
    </row>
    <row r="34" spans="1:6" outlineLevel="1" x14ac:dyDescent="0.25">
      <c r="A34" s="12" t="s">
        <v>37</v>
      </c>
      <c r="B34" s="13" t="s">
        <v>38</v>
      </c>
      <c r="C34" s="16">
        <v>3164.63</v>
      </c>
      <c r="D34" s="66"/>
      <c r="E34" s="66"/>
      <c r="F34" s="66"/>
    </row>
    <row r="35" spans="1:6" s="70" customFormat="1" ht="15.5" outlineLevel="1" x14ac:dyDescent="0.25">
      <c r="A35" s="12" t="s">
        <v>39</v>
      </c>
      <c r="B35" s="13" t="s">
        <v>40</v>
      </c>
      <c r="C35" s="16">
        <v>114701.39</v>
      </c>
      <c r="D35" s="68"/>
      <c r="E35" s="69"/>
      <c r="F35" s="68"/>
    </row>
    <row r="36" spans="1:6" s="67" customFormat="1" ht="13" x14ac:dyDescent="0.25">
      <c r="A36" s="12" t="s">
        <v>41</v>
      </c>
      <c r="B36" s="13" t="s">
        <v>42</v>
      </c>
      <c r="C36" s="16">
        <v>49448.88</v>
      </c>
      <c r="D36" s="65"/>
      <c r="E36" s="65"/>
      <c r="F36" s="66"/>
    </row>
    <row r="37" spans="1:6" s="73" customFormat="1" ht="13" x14ac:dyDescent="0.25">
      <c r="A37" s="12" t="s">
        <v>43</v>
      </c>
      <c r="B37" s="13" t="s">
        <v>44</v>
      </c>
      <c r="C37" s="16">
        <v>420448.62</v>
      </c>
      <c r="D37" s="71"/>
      <c r="E37" s="71"/>
      <c r="F37" s="72"/>
    </row>
    <row r="38" spans="1:6" x14ac:dyDescent="0.25">
      <c r="A38" s="12" t="s">
        <v>45</v>
      </c>
      <c r="B38" s="13" t="s">
        <v>46</v>
      </c>
      <c r="C38" s="16">
        <v>99099.33</v>
      </c>
    </row>
    <row r="39" spans="1:6" s="74" customFormat="1" ht="18" x14ac:dyDescent="0.25">
      <c r="A39" s="12" t="s">
        <v>47</v>
      </c>
      <c r="B39" s="13" t="s">
        <v>48</v>
      </c>
      <c r="C39" s="16">
        <v>41883.800000000003</v>
      </c>
    </row>
    <row r="40" spans="1:6" x14ac:dyDescent="0.25">
      <c r="A40" s="12" t="s">
        <v>49</v>
      </c>
      <c r="B40" s="13" t="s">
        <v>50</v>
      </c>
      <c r="C40" s="16">
        <v>53123.82</v>
      </c>
    </row>
    <row r="41" spans="1:6" x14ac:dyDescent="0.25">
      <c r="A41" s="17" t="s">
        <v>51</v>
      </c>
      <c r="B41" s="18" t="s">
        <v>52</v>
      </c>
      <c r="C41" s="19">
        <v>22318.12</v>
      </c>
    </row>
    <row r="42" spans="1:6" ht="13" thickBot="1" x14ac:dyDescent="0.3">
      <c r="A42" s="20"/>
      <c r="B42" s="21"/>
      <c r="C42" s="22"/>
    </row>
    <row r="43" spans="1:6" ht="16" thickTop="1" x14ac:dyDescent="0.35">
      <c r="A43" s="23"/>
      <c r="B43" s="24" t="s">
        <v>53</v>
      </c>
      <c r="C43" s="25">
        <f>SUM(C14:C41)</f>
        <v>2041484.0900000003</v>
      </c>
    </row>
    <row r="44" spans="1:6" ht="14" x14ac:dyDescent="0.25">
      <c r="A44"/>
      <c r="B44"/>
      <c r="C44"/>
    </row>
    <row r="45" spans="1:6" ht="14" x14ac:dyDescent="0.25">
      <c r="A45"/>
      <c r="B45"/>
      <c r="C45"/>
    </row>
    <row r="46" spans="1:6" ht="14" x14ac:dyDescent="0.25">
      <c r="A46"/>
      <c r="B46"/>
      <c r="C46"/>
    </row>
    <row r="47" spans="1:6" ht="14" x14ac:dyDescent="0.25">
      <c r="A47"/>
      <c r="B47"/>
      <c r="C47"/>
    </row>
    <row r="48" spans="1:6" x14ac:dyDescent="0.25">
      <c r="C48" s="28"/>
    </row>
    <row r="49" spans="3:3" x14ac:dyDescent="0.25">
      <c r="C49" s="28"/>
    </row>
    <row r="50" spans="3:3" x14ac:dyDescent="0.25">
      <c r="C50" s="28"/>
    </row>
    <row r="51" spans="3:3" x14ac:dyDescent="0.25">
      <c r="C51" s="28"/>
    </row>
    <row r="52" spans="3:3" x14ac:dyDescent="0.25">
      <c r="C52" s="28"/>
    </row>
    <row r="53" spans="3:3" x14ac:dyDescent="0.25">
      <c r="C53" s="28"/>
    </row>
    <row r="54" spans="3:3" x14ac:dyDescent="0.25">
      <c r="C54" s="28"/>
    </row>
    <row r="55" spans="3:3" x14ac:dyDescent="0.25">
      <c r="C55" s="28"/>
    </row>
    <row r="56" spans="3:3" x14ac:dyDescent="0.25">
      <c r="C56" s="28"/>
    </row>
    <row r="57" spans="3:3" x14ac:dyDescent="0.25">
      <c r="C57" s="28"/>
    </row>
    <row r="58" spans="3:3" x14ac:dyDescent="0.25">
      <c r="C58" s="28"/>
    </row>
    <row r="59" spans="3:3" x14ac:dyDescent="0.25">
      <c r="C59" s="28"/>
    </row>
    <row r="60" spans="3:3" x14ac:dyDescent="0.25">
      <c r="C60" s="28"/>
    </row>
    <row r="61" spans="3:3" x14ac:dyDescent="0.25">
      <c r="C61" s="28"/>
    </row>
    <row r="62" spans="3:3" x14ac:dyDescent="0.25">
      <c r="C62" s="28"/>
    </row>
    <row r="63" spans="3:3" x14ac:dyDescent="0.25">
      <c r="C63" s="28"/>
    </row>
    <row r="64" spans="3:3" x14ac:dyDescent="0.25">
      <c r="C64" s="28"/>
    </row>
    <row r="65" spans="3:3" x14ac:dyDescent="0.25">
      <c r="C65" s="28"/>
    </row>
    <row r="66" spans="3:3" x14ac:dyDescent="0.25">
      <c r="C66" s="28"/>
    </row>
    <row r="67" spans="3:3" x14ac:dyDescent="0.25">
      <c r="C67" s="28"/>
    </row>
    <row r="68" spans="3:3" x14ac:dyDescent="0.25">
      <c r="C68" s="28"/>
    </row>
    <row r="69" spans="3:3" x14ac:dyDescent="0.25">
      <c r="C69" s="28"/>
    </row>
    <row r="70" spans="3:3" x14ac:dyDescent="0.25">
      <c r="C70" s="28"/>
    </row>
    <row r="71" spans="3:3" x14ac:dyDescent="0.25">
      <c r="C71" s="28"/>
    </row>
    <row r="72" spans="3:3" x14ac:dyDescent="0.25">
      <c r="C72" s="28"/>
    </row>
    <row r="73" spans="3:3" x14ac:dyDescent="0.25">
      <c r="C73" s="28"/>
    </row>
    <row r="74" spans="3:3" x14ac:dyDescent="0.25">
      <c r="C74" s="28"/>
    </row>
    <row r="75" spans="3:3" x14ac:dyDescent="0.25">
      <c r="C75" s="28"/>
    </row>
    <row r="76" spans="3:3" x14ac:dyDescent="0.25">
      <c r="C76" s="28"/>
    </row>
    <row r="77" spans="3:3" x14ac:dyDescent="0.25">
      <c r="C77" s="28"/>
    </row>
    <row r="78" spans="3:3" x14ac:dyDescent="0.25">
      <c r="C78" s="28"/>
    </row>
    <row r="79" spans="3:3" x14ac:dyDescent="0.25">
      <c r="C79" s="28"/>
    </row>
    <row r="80" spans="3:3" x14ac:dyDescent="0.25">
      <c r="C80" s="28"/>
    </row>
    <row r="81" spans="3:3" x14ac:dyDescent="0.25">
      <c r="C81" s="28"/>
    </row>
    <row r="82" spans="3:3" x14ac:dyDescent="0.25">
      <c r="C82" s="28"/>
    </row>
    <row r="83" spans="3:3" x14ac:dyDescent="0.25">
      <c r="C83" s="28"/>
    </row>
    <row r="84" spans="3:3" x14ac:dyDescent="0.25">
      <c r="C84" s="28"/>
    </row>
    <row r="85" spans="3:3" x14ac:dyDescent="0.25">
      <c r="C85" s="28"/>
    </row>
    <row r="86" spans="3:3" x14ac:dyDescent="0.25">
      <c r="C86" s="28"/>
    </row>
    <row r="87" spans="3:3" x14ac:dyDescent="0.25">
      <c r="C87" s="28"/>
    </row>
    <row r="88" spans="3:3" x14ac:dyDescent="0.25">
      <c r="C88" s="28"/>
    </row>
    <row r="89" spans="3:3" x14ac:dyDescent="0.25">
      <c r="C89" s="28"/>
    </row>
    <row r="90" spans="3:3" x14ac:dyDescent="0.25">
      <c r="C90" s="28"/>
    </row>
    <row r="91" spans="3:3" x14ac:dyDescent="0.25">
      <c r="C91" s="28"/>
    </row>
    <row r="92" spans="3:3" x14ac:dyDescent="0.25">
      <c r="C92" s="28"/>
    </row>
    <row r="93" spans="3:3" x14ac:dyDescent="0.25">
      <c r="C93" s="28"/>
    </row>
    <row r="94" spans="3:3" x14ac:dyDescent="0.25">
      <c r="C94" s="28"/>
    </row>
    <row r="95" spans="3:3" x14ac:dyDescent="0.25">
      <c r="C95" s="28"/>
    </row>
    <row r="96" spans="3:3" x14ac:dyDescent="0.25">
      <c r="C96" s="28"/>
    </row>
    <row r="97" spans="3:3" x14ac:dyDescent="0.25">
      <c r="C97" s="28"/>
    </row>
    <row r="98" spans="3:3" x14ac:dyDescent="0.25">
      <c r="C98" s="28"/>
    </row>
    <row r="99" spans="3:3" x14ac:dyDescent="0.25">
      <c r="C99" s="28"/>
    </row>
    <row r="100" spans="3:3" x14ac:dyDescent="0.25">
      <c r="C100" s="28"/>
    </row>
    <row r="101" spans="3:3" x14ac:dyDescent="0.25">
      <c r="C101" s="28"/>
    </row>
    <row r="102" spans="3:3" x14ac:dyDescent="0.25">
      <c r="C102" s="28"/>
    </row>
    <row r="103" spans="3:3" x14ac:dyDescent="0.25">
      <c r="C103" s="28"/>
    </row>
    <row r="104" spans="3:3" x14ac:dyDescent="0.25">
      <c r="C104" s="28"/>
    </row>
    <row r="105" spans="3:3" x14ac:dyDescent="0.25">
      <c r="C105" s="28"/>
    </row>
    <row r="106" spans="3:3" x14ac:dyDescent="0.25">
      <c r="C106" s="28"/>
    </row>
    <row r="107" spans="3:3" x14ac:dyDescent="0.25">
      <c r="C107" s="28"/>
    </row>
    <row r="108" spans="3:3" x14ac:dyDescent="0.25">
      <c r="C108" s="28"/>
    </row>
    <row r="109" spans="3:3" x14ac:dyDescent="0.25">
      <c r="C109" s="28"/>
    </row>
    <row r="110" spans="3:3" x14ac:dyDescent="0.25">
      <c r="C110" s="28"/>
    </row>
    <row r="111" spans="3:3" x14ac:dyDescent="0.25">
      <c r="C111" s="28"/>
    </row>
    <row r="112" spans="3:3" x14ac:dyDescent="0.25">
      <c r="C112" s="28"/>
    </row>
    <row r="113" spans="3:3" x14ac:dyDescent="0.25">
      <c r="C113" s="28"/>
    </row>
    <row r="114" spans="3:3" x14ac:dyDescent="0.25">
      <c r="C114" s="28"/>
    </row>
    <row r="115" spans="3:3" x14ac:dyDescent="0.25">
      <c r="C115" s="28"/>
    </row>
    <row r="116" spans="3:3" x14ac:dyDescent="0.25">
      <c r="C116" s="28"/>
    </row>
    <row r="117" spans="3:3" x14ac:dyDescent="0.25">
      <c r="C117" s="28"/>
    </row>
    <row r="118" spans="3:3" x14ac:dyDescent="0.25">
      <c r="C118" s="28"/>
    </row>
    <row r="119" spans="3:3" x14ac:dyDescent="0.25">
      <c r="C119" s="28"/>
    </row>
    <row r="120" spans="3:3" x14ac:dyDescent="0.25">
      <c r="C120" s="28"/>
    </row>
    <row r="121" spans="3:3" x14ac:dyDescent="0.25">
      <c r="C121" s="28"/>
    </row>
    <row r="122" spans="3:3" x14ac:dyDescent="0.25">
      <c r="C122" s="28"/>
    </row>
    <row r="123" spans="3:3" x14ac:dyDescent="0.25">
      <c r="C123" s="28"/>
    </row>
    <row r="124" spans="3:3" x14ac:dyDescent="0.25">
      <c r="C124" s="28"/>
    </row>
    <row r="125" spans="3:3" x14ac:dyDescent="0.25">
      <c r="C125" s="28"/>
    </row>
    <row r="126" spans="3:3" x14ac:dyDescent="0.25">
      <c r="C126" s="28"/>
    </row>
    <row r="127" spans="3:3" x14ac:dyDescent="0.25">
      <c r="C127" s="28"/>
    </row>
    <row r="128" spans="3:3" x14ac:dyDescent="0.25">
      <c r="C128" s="28"/>
    </row>
    <row r="129" spans="3:3" x14ac:dyDescent="0.25">
      <c r="C129" s="28"/>
    </row>
    <row r="130" spans="3:3" x14ac:dyDescent="0.25">
      <c r="C130" s="28"/>
    </row>
    <row r="131" spans="3:3" x14ac:dyDescent="0.25">
      <c r="C131" s="28"/>
    </row>
    <row r="132" spans="3:3" x14ac:dyDescent="0.25">
      <c r="C132" s="28"/>
    </row>
    <row r="133" spans="3:3" x14ac:dyDescent="0.25">
      <c r="C133" s="28"/>
    </row>
    <row r="134" spans="3:3" x14ac:dyDescent="0.25">
      <c r="C134" s="28"/>
    </row>
    <row r="135" spans="3:3" x14ac:dyDescent="0.25">
      <c r="C135" s="28"/>
    </row>
    <row r="136" spans="3:3" x14ac:dyDescent="0.25">
      <c r="C136" s="28"/>
    </row>
    <row r="137" spans="3:3" x14ac:dyDescent="0.25">
      <c r="C137" s="28"/>
    </row>
    <row r="138" spans="3:3" x14ac:dyDescent="0.25">
      <c r="C138" s="28"/>
    </row>
    <row r="139" spans="3:3" x14ac:dyDescent="0.25">
      <c r="C139" s="28"/>
    </row>
    <row r="140" spans="3:3" x14ac:dyDescent="0.25">
      <c r="C140" s="28"/>
    </row>
    <row r="141" spans="3:3" x14ac:dyDescent="0.25">
      <c r="C141" s="28"/>
    </row>
    <row r="142" spans="3:3" x14ac:dyDescent="0.25">
      <c r="C142" s="28"/>
    </row>
    <row r="143" spans="3:3" x14ac:dyDescent="0.25">
      <c r="C143" s="28"/>
    </row>
    <row r="144" spans="3:3" x14ac:dyDescent="0.25">
      <c r="C144" s="28"/>
    </row>
    <row r="145" spans="3:3" x14ac:dyDescent="0.25">
      <c r="C145" s="28"/>
    </row>
    <row r="146" spans="3:3" x14ac:dyDescent="0.25">
      <c r="C146" s="28"/>
    </row>
    <row r="147" spans="3:3" x14ac:dyDescent="0.25">
      <c r="C147" s="28"/>
    </row>
    <row r="148" spans="3:3" x14ac:dyDescent="0.25">
      <c r="C148" s="28"/>
    </row>
  </sheetData>
  <mergeCells count="8">
    <mergeCell ref="B31:C31"/>
    <mergeCell ref="A2:B2"/>
    <mergeCell ref="A3:B3"/>
    <mergeCell ref="A4:B4"/>
    <mergeCell ref="A6:B6"/>
    <mergeCell ref="B13:C13"/>
    <mergeCell ref="B16:C16"/>
    <mergeCell ref="C9:C1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A4149-80B6-4B3F-820B-A6763B302D04}">
  <dimension ref="A1:F148"/>
  <sheetViews>
    <sheetView topLeftCell="A9" workbookViewId="0">
      <selection activeCell="C9" sqref="C9:C11"/>
    </sheetView>
  </sheetViews>
  <sheetFormatPr defaultColWidth="8.453125" defaultRowHeight="12.5" outlineLevelRow="1" x14ac:dyDescent="0.25"/>
  <cols>
    <col min="1" max="1" width="22" style="26" customWidth="1"/>
    <col min="2" max="2" width="38.81640625" style="27" customWidth="1"/>
    <col min="3" max="3" width="16.7265625" style="31" customWidth="1"/>
    <col min="4" max="16384" width="8.453125" style="27"/>
  </cols>
  <sheetData>
    <row r="1" spans="1:6" s="54" customFormat="1" ht="15.5" hidden="1" x14ac:dyDescent="0.25">
      <c r="A1" s="1"/>
      <c r="B1" s="1"/>
      <c r="C1" s="52"/>
    </row>
    <row r="2" spans="1:6" ht="19.5" hidden="1" customHeight="1" thickBot="1" x14ac:dyDescent="0.3">
      <c r="A2" s="80" t="str">
        <f>[1]Cover!A2</f>
        <v>CHN, Shanghai Campus Building 1 RF Project</v>
      </c>
      <c r="B2" s="80"/>
      <c r="C2" s="55"/>
    </row>
    <row r="3" spans="1:6" ht="19.5" hidden="1" customHeight="1" thickBot="1" x14ac:dyDescent="0.3">
      <c r="A3" s="81" t="str">
        <f>[1]Cover!A3</f>
        <v>Build General Contractor Works</v>
      </c>
      <c r="B3" s="81"/>
      <c r="C3" s="55"/>
    </row>
    <row r="4" spans="1:6" hidden="1" x14ac:dyDescent="0.25">
      <c r="A4" s="81" t="str">
        <f>[1]Cover!A4</f>
        <v xml:space="preserve">Issue Date: </v>
      </c>
      <c r="B4" s="81"/>
      <c r="C4" s="55"/>
    </row>
    <row r="5" spans="1:6" hidden="1" x14ac:dyDescent="0.25">
      <c r="A5" s="2"/>
      <c r="B5" s="2"/>
      <c r="C5" s="55"/>
    </row>
    <row r="6" spans="1:6" ht="19.5" hidden="1" customHeight="1" thickBot="1" x14ac:dyDescent="0.3">
      <c r="A6" s="80" t="str">
        <f>[1]Cover!A6</f>
        <v>Name of Tenderer:__________________________________</v>
      </c>
      <c r="B6" s="80"/>
      <c r="C6" s="57"/>
    </row>
    <row r="7" spans="1:6" s="54" customFormat="1" ht="15.5" hidden="1" x14ac:dyDescent="0.25">
      <c r="A7" s="3"/>
      <c r="B7" s="3"/>
      <c r="C7" s="35"/>
    </row>
    <row r="8" spans="1:6" s="54" customFormat="1" ht="19.5" hidden="1" customHeight="1" thickBot="1" x14ac:dyDescent="0.3">
      <c r="A8" s="4" t="s">
        <v>0</v>
      </c>
      <c r="B8" s="3"/>
      <c r="C8" s="35"/>
    </row>
    <row r="9" spans="1:6" s="60" customFormat="1" ht="20.149999999999999" customHeight="1" x14ac:dyDescent="0.25">
      <c r="A9" s="5"/>
      <c r="B9" s="5"/>
      <c r="C9" s="91" t="s">
        <v>56</v>
      </c>
      <c r="D9" s="59"/>
      <c r="E9" s="59"/>
      <c r="F9" s="59"/>
    </row>
    <row r="10" spans="1:6" s="60" customFormat="1" ht="20.149999999999999" customHeight="1" x14ac:dyDescent="0.25">
      <c r="A10" s="86" t="s">
        <v>60</v>
      </c>
      <c r="B10" s="87">
        <v>38351.812814736739</v>
      </c>
      <c r="C10" s="92"/>
      <c r="D10" s="59"/>
      <c r="E10" s="59"/>
      <c r="F10" s="59"/>
    </row>
    <row r="11" spans="1:6" s="60" customFormat="1" ht="20.149999999999999" customHeight="1" thickBot="1" x14ac:dyDescent="0.3">
      <c r="A11" s="86" t="s">
        <v>61</v>
      </c>
      <c r="B11" s="87">
        <f>B10*0.09290304</f>
        <v>3563</v>
      </c>
      <c r="C11" s="93"/>
      <c r="D11" s="59"/>
      <c r="E11" s="59"/>
      <c r="F11" s="59"/>
    </row>
    <row r="12" spans="1:6" s="67" customFormat="1" ht="43" customHeight="1" x14ac:dyDescent="0.25">
      <c r="A12" s="6" t="s">
        <v>2</v>
      </c>
      <c r="B12" s="7" t="s">
        <v>3</v>
      </c>
      <c r="C12" s="63" t="s">
        <v>4</v>
      </c>
      <c r="D12" s="65"/>
      <c r="E12" s="65"/>
      <c r="F12" s="66"/>
    </row>
    <row r="13" spans="1:6" ht="13" outlineLevel="1" x14ac:dyDescent="0.3">
      <c r="A13" s="8"/>
      <c r="B13" s="82" t="s">
        <v>6</v>
      </c>
      <c r="C13" s="83"/>
      <c r="D13" s="66"/>
      <c r="E13" s="66"/>
      <c r="F13" s="66"/>
    </row>
    <row r="14" spans="1:6" s="67" customFormat="1" ht="13" outlineLevel="1" x14ac:dyDescent="0.25">
      <c r="A14" s="9" t="s">
        <v>5</v>
      </c>
      <c r="B14" s="10" t="s">
        <v>6</v>
      </c>
      <c r="C14" s="11">
        <v>89697.5</v>
      </c>
      <c r="D14" s="66"/>
      <c r="E14" s="66"/>
      <c r="F14" s="66"/>
    </row>
    <row r="15" spans="1:6" s="67" customFormat="1" ht="13" outlineLevel="1" x14ac:dyDescent="0.25">
      <c r="A15" s="12"/>
      <c r="B15" s="13"/>
      <c r="C15" s="14"/>
      <c r="D15" s="65"/>
      <c r="E15" s="65"/>
      <c r="F15" s="66"/>
    </row>
    <row r="16" spans="1:6" ht="13" outlineLevel="1" x14ac:dyDescent="0.3">
      <c r="A16" s="15"/>
      <c r="B16" s="78" t="s">
        <v>58</v>
      </c>
      <c r="C16" s="79"/>
      <c r="D16" s="66"/>
      <c r="E16" s="66"/>
      <c r="F16" s="66"/>
    </row>
    <row r="17" spans="1:6" outlineLevel="1" x14ac:dyDescent="0.25">
      <c r="A17" s="12" t="s">
        <v>7</v>
      </c>
      <c r="B17" s="13" t="s">
        <v>8</v>
      </c>
      <c r="C17" s="16">
        <v>19862.55</v>
      </c>
      <c r="D17" s="66"/>
      <c r="E17" s="66"/>
      <c r="F17" s="66"/>
    </row>
    <row r="18" spans="1:6" outlineLevel="1" x14ac:dyDescent="0.25">
      <c r="A18" s="12" t="s">
        <v>9</v>
      </c>
      <c r="B18" s="13" t="s">
        <v>10</v>
      </c>
      <c r="C18" s="16">
        <v>137241.53</v>
      </c>
      <c r="D18" s="66"/>
      <c r="E18" s="66"/>
      <c r="F18" s="66"/>
    </row>
    <row r="19" spans="1:6" outlineLevel="1" x14ac:dyDescent="0.25">
      <c r="A19" s="12" t="s">
        <v>11</v>
      </c>
      <c r="B19" s="13" t="s">
        <v>12</v>
      </c>
      <c r="C19" s="16">
        <v>134532.20000000001</v>
      </c>
      <c r="D19" s="66"/>
      <c r="E19" s="66"/>
      <c r="F19" s="66"/>
    </row>
    <row r="20" spans="1:6" outlineLevel="1" x14ac:dyDescent="0.25">
      <c r="A20" s="12" t="s">
        <v>13</v>
      </c>
      <c r="B20" s="13" t="s">
        <v>14</v>
      </c>
      <c r="C20" s="16">
        <v>156976.95000000001</v>
      </c>
      <c r="D20" s="66"/>
      <c r="E20" s="66"/>
      <c r="F20" s="66"/>
    </row>
    <row r="21" spans="1:6" outlineLevel="1" x14ac:dyDescent="0.25">
      <c r="A21" s="12" t="s">
        <v>15</v>
      </c>
      <c r="B21" s="13" t="s">
        <v>16</v>
      </c>
      <c r="C21" s="16">
        <v>119370.69</v>
      </c>
      <c r="D21" s="66"/>
      <c r="E21" s="66"/>
      <c r="F21" s="66"/>
    </row>
    <row r="22" spans="1:6" outlineLevel="1" x14ac:dyDescent="0.25">
      <c r="A22" s="12" t="s">
        <v>17</v>
      </c>
      <c r="B22" s="13" t="s">
        <v>18</v>
      </c>
      <c r="C22" s="16">
        <v>173046.49</v>
      </c>
      <c r="D22" s="66"/>
      <c r="E22" s="66"/>
      <c r="F22" s="66"/>
    </row>
    <row r="23" spans="1:6" outlineLevel="1" x14ac:dyDescent="0.25">
      <c r="A23" s="12" t="s">
        <v>19</v>
      </c>
      <c r="B23" s="13" t="s">
        <v>20</v>
      </c>
      <c r="C23" s="16">
        <v>71378.53</v>
      </c>
      <c r="D23" s="66"/>
      <c r="E23" s="66"/>
      <c r="F23" s="66"/>
    </row>
    <row r="24" spans="1:6" outlineLevel="1" x14ac:dyDescent="0.25">
      <c r="A24" s="12" t="s">
        <v>21</v>
      </c>
      <c r="B24" s="13" t="s">
        <v>22</v>
      </c>
      <c r="C24" s="16">
        <v>49054.239999999998</v>
      </c>
      <c r="D24" s="66"/>
      <c r="E24" s="66"/>
      <c r="F24" s="66"/>
    </row>
    <row r="25" spans="1:6" outlineLevel="1" x14ac:dyDescent="0.25">
      <c r="A25" s="12" t="s">
        <v>23</v>
      </c>
      <c r="B25" s="13" t="s">
        <v>24</v>
      </c>
      <c r="C25" s="16">
        <v>8409.59</v>
      </c>
      <c r="D25" s="66"/>
      <c r="E25" s="66"/>
      <c r="F25" s="66"/>
    </row>
    <row r="26" spans="1:6" outlineLevel="1" x14ac:dyDescent="0.25">
      <c r="A26" s="12" t="s">
        <v>25</v>
      </c>
      <c r="B26" s="13" t="s">
        <v>26</v>
      </c>
      <c r="C26" s="16">
        <v>26919.94</v>
      </c>
      <c r="D26" s="66"/>
      <c r="E26" s="66"/>
      <c r="F26" s="66"/>
    </row>
    <row r="27" spans="1:6" outlineLevel="1" x14ac:dyDescent="0.25">
      <c r="A27" s="12" t="s">
        <v>27</v>
      </c>
      <c r="B27" s="13" t="s">
        <v>28</v>
      </c>
      <c r="C27" s="16">
        <v>2566.5500000000002</v>
      </c>
      <c r="D27" s="66"/>
      <c r="E27" s="66"/>
      <c r="F27" s="66"/>
    </row>
    <row r="28" spans="1:6" outlineLevel="1" x14ac:dyDescent="0.25">
      <c r="A28" s="12" t="s">
        <v>29</v>
      </c>
      <c r="B28" s="13" t="s">
        <v>30</v>
      </c>
      <c r="C28" s="16">
        <v>4237.12</v>
      </c>
      <c r="D28" s="66"/>
      <c r="E28" s="66"/>
      <c r="F28" s="66"/>
    </row>
    <row r="29" spans="1:6" outlineLevel="1" x14ac:dyDescent="0.25">
      <c r="A29" s="12" t="s">
        <v>31</v>
      </c>
      <c r="B29" s="13" t="s">
        <v>32</v>
      </c>
      <c r="C29" s="16">
        <v>25577.41</v>
      </c>
      <c r="D29" s="66"/>
      <c r="E29" s="66"/>
      <c r="F29" s="66"/>
    </row>
    <row r="30" spans="1:6" outlineLevel="1" x14ac:dyDescent="0.25">
      <c r="A30" s="12"/>
      <c r="B30" s="13"/>
      <c r="C30" s="14"/>
      <c r="D30" s="66"/>
      <c r="E30" s="66"/>
      <c r="F30" s="66"/>
    </row>
    <row r="31" spans="1:6" ht="13" outlineLevel="1" x14ac:dyDescent="0.3">
      <c r="A31" s="15"/>
      <c r="B31" s="78" t="s">
        <v>59</v>
      </c>
      <c r="C31" s="79"/>
      <c r="D31" s="66"/>
      <c r="E31" s="66"/>
      <c r="F31" s="66"/>
    </row>
    <row r="32" spans="1:6" outlineLevel="1" x14ac:dyDescent="0.25">
      <c r="A32" s="12" t="s">
        <v>33</v>
      </c>
      <c r="B32" s="13" t="s">
        <v>34</v>
      </c>
      <c r="C32" s="16">
        <v>47972.42</v>
      </c>
      <c r="D32" s="66"/>
      <c r="E32" s="66"/>
      <c r="F32" s="66"/>
    </row>
    <row r="33" spans="1:6" s="67" customFormat="1" ht="13" outlineLevel="1" x14ac:dyDescent="0.25">
      <c r="A33" s="12" t="s">
        <v>35</v>
      </c>
      <c r="B33" s="13" t="s">
        <v>36</v>
      </c>
      <c r="C33" s="16">
        <v>188896.47</v>
      </c>
      <c r="D33" s="66"/>
      <c r="E33" s="65"/>
      <c r="F33" s="66"/>
    </row>
    <row r="34" spans="1:6" outlineLevel="1" x14ac:dyDescent="0.25">
      <c r="A34" s="12" t="s">
        <v>37</v>
      </c>
      <c r="B34" s="13" t="s">
        <v>38</v>
      </c>
      <c r="C34" s="16">
        <v>4725.45</v>
      </c>
      <c r="D34" s="66"/>
      <c r="E34" s="66"/>
      <c r="F34" s="66"/>
    </row>
    <row r="35" spans="1:6" s="70" customFormat="1" ht="15.5" outlineLevel="1" x14ac:dyDescent="0.25">
      <c r="A35" s="12" t="s">
        <v>39</v>
      </c>
      <c r="B35" s="13" t="s">
        <v>40</v>
      </c>
      <c r="C35" s="16">
        <v>175482.91</v>
      </c>
      <c r="D35" s="68"/>
      <c r="E35" s="69"/>
      <c r="F35" s="68"/>
    </row>
    <row r="36" spans="1:6" s="67" customFormat="1" ht="13" x14ac:dyDescent="0.25">
      <c r="A36" s="12" t="s">
        <v>41</v>
      </c>
      <c r="B36" s="13" t="s">
        <v>42</v>
      </c>
      <c r="C36" s="16">
        <v>73969.179999999993</v>
      </c>
      <c r="D36" s="65"/>
      <c r="E36" s="65"/>
      <c r="F36" s="66"/>
    </row>
    <row r="37" spans="1:6" s="73" customFormat="1" ht="13" x14ac:dyDescent="0.25">
      <c r="A37" s="12" t="s">
        <v>43</v>
      </c>
      <c r="B37" s="13" t="s">
        <v>44</v>
      </c>
      <c r="C37" s="16">
        <v>420547.73</v>
      </c>
      <c r="D37" s="71"/>
      <c r="E37" s="71"/>
      <c r="F37" s="72"/>
    </row>
    <row r="38" spans="1:6" x14ac:dyDescent="0.25">
      <c r="A38" s="12" t="s">
        <v>45</v>
      </c>
      <c r="B38" s="13" t="s">
        <v>46</v>
      </c>
      <c r="C38" s="16">
        <v>68370.06</v>
      </c>
    </row>
    <row r="39" spans="1:6" s="74" customFormat="1" ht="18" x14ac:dyDescent="0.25">
      <c r="A39" s="12" t="s">
        <v>47</v>
      </c>
      <c r="B39" s="13" t="s">
        <v>48</v>
      </c>
      <c r="C39" s="16">
        <v>98809.8</v>
      </c>
    </row>
    <row r="40" spans="1:6" x14ac:dyDescent="0.25">
      <c r="A40" s="12" t="s">
        <v>49</v>
      </c>
      <c r="B40" s="13" t="s">
        <v>50</v>
      </c>
      <c r="C40" s="16">
        <v>129353.53</v>
      </c>
    </row>
    <row r="41" spans="1:6" x14ac:dyDescent="0.25">
      <c r="A41" s="17" t="s">
        <v>51</v>
      </c>
      <c r="B41" s="18" t="s">
        <v>52</v>
      </c>
      <c r="C41" s="19">
        <v>22593.54</v>
      </c>
    </row>
    <row r="42" spans="1:6" ht="13" thickBot="1" x14ac:dyDescent="0.3">
      <c r="A42" s="20"/>
      <c r="B42" s="21"/>
      <c r="C42" s="22"/>
    </row>
    <row r="43" spans="1:6" ht="16" thickTop="1" x14ac:dyDescent="0.35">
      <c r="A43" s="23"/>
      <c r="B43" s="24" t="s">
        <v>53</v>
      </c>
      <c r="C43" s="25">
        <f>SUM(C14:C41)</f>
        <v>2249592.3799999994</v>
      </c>
    </row>
    <row r="44" spans="1:6" ht="14" x14ac:dyDescent="0.25">
      <c r="A44"/>
      <c r="B44"/>
      <c r="C44"/>
    </row>
    <row r="45" spans="1:6" ht="14" x14ac:dyDescent="0.25">
      <c r="A45"/>
      <c r="B45"/>
      <c r="C45"/>
    </row>
    <row r="46" spans="1:6" ht="14" x14ac:dyDescent="0.25">
      <c r="A46"/>
      <c r="B46"/>
      <c r="C46"/>
    </row>
    <row r="47" spans="1:6" ht="14" x14ac:dyDescent="0.25">
      <c r="A47"/>
      <c r="B47"/>
      <c r="C47"/>
    </row>
    <row r="48" spans="1:6" x14ac:dyDescent="0.25">
      <c r="C48" s="28"/>
    </row>
    <row r="49" spans="3:3" x14ac:dyDescent="0.25">
      <c r="C49" s="28"/>
    </row>
    <row r="50" spans="3:3" x14ac:dyDescent="0.25">
      <c r="C50" s="28"/>
    </row>
    <row r="51" spans="3:3" x14ac:dyDescent="0.25">
      <c r="C51" s="28"/>
    </row>
    <row r="52" spans="3:3" x14ac:dyDescent="0.25">
      <c r="C52" s="28"/>
    </row>
    <row r="53" spans="3:3" x14ac:dyDescent="0.25">
      <c r="C53" s="28"/>
    </row>
    <row r="54" spans="3:3" x14ac:dyDescent="0.25">
      <c r="C54" s="28"/>
    </row>
    <row r="55" spans="3:3" x14ac:dyDescent="0.25">
      <c r="C55" s="28"/>
    </row>
    <row r="56" spans="3:3" x14ac:dyDescent="0.25">
      <c r="C56" s="28"/>
    </row>
    <row r="57" spans="3:3" x14ac:dyDescent="0.25">
      <c r="C57" s="28"/>
    </row>
    <row r="58" spans="3:3" x14ac:dyDescent="0.25">
      <c r="C58" s="28"/>
    </row>
    <row r="59" spans="3:3" x14ac:dyDescent="0.25">
      <c r="C59" s="28"/>
    </row>
    <row r="60" spans="3:3" x14ac:dyDescent="0.25">
      <c r="C60" s="28"/>
    </row>
    <row r="61" spans="3:3" x14ac:dyDescent="0.25">
      <c r="C61" s="28"/>
    </row>
    <row r="62" spans="3:3" x14ac:dyDescent="0.25">
      <c r="C62" s="28"/>
    </row>
    <row r="63" spans="3:3" x14ac:dyDescent="0.25">
      <c r="C63" s="28"/>
    </row>
    <row r="64" spans="3:3" x14ac:dyDescent="0.25">
      <c r="C64" s="28"/>
    </row>
    <row r="65" spans="3:3" x14ac:dyDescent="0.25">
      <c r="C65" s="28"/>
    </row>
    <row r="66" spans="3:3" x14ac:dyDescent="0.25">
      <c r="C66" s="28"/>
    </row>
    <row r="67" spans="3:3" x14ac:dyDescent="0.25">
      <c r="C67" s="28"/>
    </row>
    <row r="68" spans="3:3" x14ac:dyDescent="0.25">
      <c r="C68" s="28"/>
    </row>
    <row r="69" spans="3:3" x14ac:dyDescent="0.25">
      <c r="C69" s="28"/>
    </row>
    <row r="70" spans="3:3" x14ac:dyDescent="0.25">
      <c r="C70" s="28"/>
    </row>
    <row r="71" spans="3:3" x14ac:dyDescent="0.25">
      <c r="C71" s="28"/>
    </row>
    <row r="72" spans="3:3" x14ac:dyDescent="0.25">
      <c r="C72" s="28"/>
    </row>
    <row r="73" spans="3:3" x14ac:dyDescent="0.25">
      <c r="C73" s="28"/>
    </row>
    <row r="74" spans="3:3" x14ac:dyDescent="0.25">
      <c r="C74" s="28"/>
    </row>
    <row r="75" spans="3:3" x14ac:dyDescent="0.25">
      <c r="C75" s="28"/>
    </row>
    <row r="76" spans="3:3" x14ac:dyDescent="0.25">
      <c r="C76" s="28"/>
    </row>
    <row r="77" spans="3:3" x14ac:dyDescent="0.25">
      <c r="C77" s="28"/>
    </row>
    <row r="78" spans="3:3" x14ac:dyDescent="0.25">
      <c r="C78" s="28"/>
    </row>
    <row r="79" spans="3:3" x14ac:dyDescent="0.25">
      <c r="C79" s="28"/>
    </row>
    <row r="80" spans="3:3" x14ac:dyDescent="0.25">
      <c r="C80" s="28"/>
    </row>
    <row r="81" spans="3:3" x14ac:dyDescent="0.25">
      <c r="C81" s="28"/>
    </row>
    <row r="82" spans="3:3" x14ac:dyDescent="0.25">
      <c r="C82" s="28"/>
    </row>
    <row r="83" spans="3:3" x14ac:dyDescent="0.25">
      <c r="C83" s="28"/>
    </row>
    <row r="84" spans="3:3" x14ac:dyDescent="0.25">
      <c r="C84" s="28"/>
    </row>
    <row r="85" spans="3:3" x14ac:dyDescent="0.25">
      <c r="C85" s="28"/>
    </row>
    <row r="86" spans="3:3" x14ac:dyDescent="0.25">
      <c r="C86" s="28"/>
    </row>
    <row r="87" spans="3:3" x14ac:dyDescent="0.25">
      <c r="C87" s="28"/>
    </row>
    <row r="88" spans="3:3" x14ac:dyDescent="0.25">
      <c r="C88" s="28"/>
    </row>
    <row r="89" spans="3:3" x14ac:dyDescent="0.25">
      <c r="C89" s="28"/>
    </row>
    <row r="90" spans="3:3" x14ac:dyDescent="0.25">
      <c r="C90" s="28"/>
    </row>
    <row r="91" spans="3:3" x14ac:dyDescent="0.25">
      <c r="C91" s="28"/>
    </row>
    <row r="92" spans="3:3" x14ac:dyDescent="0.25">
      <c r="C92" s="28"/>
    </row>
    <row r="93" spans="3:3" x14ac:dyDescent="0.25">
      <c r="C93" s="28"/>
    </row>
    <row r="94" spans="3:3" x14ac:dyDescent="0.25">
      <c r="C94" s="28"/>
    </row>
    <row r="95" spans="3:3" x14ac:dyDescent="0.25">
      <c r="C95" s="28"/>
    </row>
    <row r="96" spans="3:3" x14ac:dyDescent="0.25">
      <c r="C96" s="28"/>
    </row>
    <row r="97" spans="3:3" x14ac:dyDescent="0.25">
      <c r="C97" s="28"/>
    </row>
    <row r="98" spans="3:3" x14ac:dyDescent="0.25">
      <c r="C98" s="28"/>
    </row>
    <row r="99" spans="3:3" x14ac:dyDescent="0.25">
      <c r="C99" s="28"/>
    </row>
    <row r="100" spans="3:3" x14ac:dyDescent="0.25">
      <c r="C100" s="28"/>
    </row>
    <row r="101" spans="3:3" x14ac:dyDescent="0.25">
      <c r="C101" s="28"/>
    </row>
    <row r="102" spans="3:3" x14ac:dyDescent="0.25">
      <c r="C102" s="28"/>
    </row>
    <row r="103" spans="3:3" x14ac:dyDescent="0.25">
      <c r="C103" s="28"/>
    </row>
    <row r="104" spans="3:3" x14ac:dyDescent="0.25">
      <c r="C104" s="28"/>
    </row>
    <row r="105" spans="3:3" x14ac:dyDescent="0.25">
      <c r="C105" s="28"/>
    </row>
    <row r="106" spans="3:3" x14ac:dyDescent="0.25">
      <c r="C106" s="28"/>
    </row>
    <row r="107" spans="3:3" x14ac:dyDescent="0.25">
      <c r="C107" s="28"/>
    </row>
    <row r="108" spans="3:3" x14ac:dyDescent="0.25">
      <c r="C108" s="28"/>
    </row>
    <row r="109" spans="3:3" x14ac:dyDescent="0.25">
      <c r="C109" s="28"/>
    </row>
    <row r="110" spans="3:3" x14ac:dyDescent="0.25">
      <c r="C110" s="28"/>
    </row>
    <row r="111" spans="3:3" x14ac:dyDescent="0.25">
      <c r="C111" s="28"/>
    </row>
    <row r="112" spans="3:3" x14ac:dyDescent="0.25">
      <c r="C112" s="28"/>
    </row>
    <row r="113" spans="3:3" x14ac:dyDescent="0.25">
      <c r="C113" s="28"/>
    </row>
    <row r="114" spans="3:3" x14ac:dyDescent="0.25">
      <c r="C114" s="28"/>
    </row>
    <row r="115" spans="3:3" x14ac:dyDescent="0.25">
      <c r="C115" s="28"/>
    </row>
    <row r="116" spans="3:3" x14ac:dyDescent="0.25">
      <c r="C116" s="28"/>
    </row>
    <row r="117" spans="3:3" x14ac:dyDescent="0.25">
      <c r="C117" s="28"/>
    </row>
    <row r="118" spans="3:3" x14ac:dyDescent="0.25">
      <c r="C118" s="28"/>
    </row>
    <row r="119" spans="3:3" x14ac:dyDescent="0.25">
      <c r="C119" s="28"/>
    </row>
    <row r="120" spans="3:3" x14ac:dyDescent="0.25">
      <c r="C120" s="28"/>
    </row>
    <row r="121" spans="3:3" x14ac:dyDescent="0.25">
      <c r="C121" s="28"/>
    </row>
    <row r="122" spans="3:3" x14ac:dyDescent="0.25">
      <c r="C122" s="28"/>
    </row>
    <row r="123" spans="3:3" x14ac:dyDescent="0.25">
      <c r="C123" s="28"/>
    </row>
    <row r="124" spans="3:3" x14ac:dyDescent="0.25">
      <c r="C124" s="28"/>
    </row>
    <row r="125" spans="3:3" x14ac:dyDescent="0.25">
      <c r="C125" s="28"/>
    </row>
    <row r="126" spans="3:3" x14ac:dyDescent="0.25">
      <c r="C126" s="28"/>
    </row>
    <row r="127" spans="3:3" x14ac:dyDescent="0.25">
      <c r="C127" s="28"/>
    </row>
    <row r="128" spans="3:3" x14ac:dyDescent="0.25">
      <c r="C128" s="28"/>
    </row>
    <row r="129" spans="3:3" x14ac:dyDescent="0.25">
      <c r="C129" s="28"/>
    </row>
    <row r="130" spans="3:3" x14ac:dyDescent="0.25">
      <c r="C130" s="28"/>
    </row>
    <row r="131" spans="3:3" x14ac:dyDescent="0.25">
      <c r="C131" s="28"/>
    </row>
    <row r="132" spans="3:3" x14ac:dyDescent="0.25">
      <c r="C132" s="28"/>
    </row>
    <row r="133" spans="3:3" x14ac:dyDescent="0.25">
      <c r="C133" s="28"/>
    </row>
    <row r="134" spans="3:3" x14ac:dyDescent="0.25">
      <c r="C134" s="28"/>
    </row>
    <row r="135" spans="3:3" x14ac:dyDescent="0.25">
      <c r="C135" s="28"/>
    </row>
    <row r="136" spans="3:3" x14ac:dyDescent="0.25">
      <c r="C136" s="28"/>
    </row>
    <row r="137" spans="3:3" x14ac:dyDescent="0.25">
      <c r="C137" s="28"/>
    </row>
    <row r="138" spans="3:3" x14ac:dyDescent="0.25">
      <c r="C138" s="28"/>
    </row>
    <row r="139" spans="3:3" x14ac:dyDescent="0.25">
      <c r="C139" s="28"/>
    </row>
    <row r="140" spans="3:3" x14ac:dyDescent="0.25">
      <c r="C140" s="28"/>
    </row>
    <row r="141" spans="3:3" x14ac:dyDescent="0.25">
      <c r="C141" s="28"/>
    </row>
    <row r="142" spans="3:3" x14ac:dyDescent="0.25">
      <c r="C142" s="28"/>
    </row>
    <row r="143" spans="3:3" x14ac:dyDescent="0.25">
      <c r="C143" s="28"/>
    </row>
    <row r="144" spans="3:3" x14ac:dyDescent="0.25">
      <c r="C144" s="28"/>
    </row>
    <row r="145" spans="3:3" x14ac:dyDescent="0.25">
      <c r="C145" s="28"/>
    </row>
    <row r="146" spans="3:3" x14ac:dyDescent="0.25">
      <c r="C146" s="28"/>
    </row>
    <row r="147" spans="3:3" x14ac:dyDescent="0.25">
      <c r="C147" s="28"/>
    </row>
    <row r="148" spans="3:3" x14ac:dyDescent="0.25">
      <c r="C148" s="28"/>
    </row>
  </sheetData>
  <mergeCells count="8">
    <mergeCell ref="B31:C31"/>
    <mergeCell ref="A2:B2"/>
    <mergeCell ref="A3:B3"/>
    <mergeCell ref="A4:B4"/>
    <mergeCell ref="A6:B6"/>
    <mergeCell ref="B13:C13"/>
    <mergeCell ref="B16:C16"/>
    <mergeCell ref="C9:C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BBAD-7E5B-4F50-BF26-0BFB1AA74C17}">
  <dimension ref="A1:U148"/>
  <sheetViews>
    <sheetView topLeftCell="A9" workbookViewId="0">
      <selection activeCell="G11" sqref="G11"/>
    </sheetView>
  </sheetViews>
  <sheetFormatPr defaultColWidth="8.453125" defaultRowHeight="12.5" outlineLevelRow="1" x14ac:dyDescent="0.25"/>
  <cols>
    <col min="1" max="1" width="23.26953125" style="26" customWidth="1"/>
    <col min="2" max="2" width="36" style="27" customWidth="1"/>
    <col min="3" max="3" width="16.7265625" style="56" customWidth="1"/>
    <col min="4" max="16384" width="8.453125" style="27"/>
  </cols>
  <sheetData>
    <row r="1" spans="1:6" s="54" customFormat="1" ht="15.5" hidden="1" x14ac:dyDescent="0.25">
      <c r="A1" s="1"/>
      <c r="B1" s="1"/>
      <c r="C1" s="53"/>
    </row>
    <row r="2" spans="1:6" ht="19.5" hidden="1" customHeight="1" thickBot="1" x14ac:dyDescent="0.3">
      <c r="A2" s="80" t="str">
        <f>[1]Cover!A2</f>
        <v>CHN, Shanghai Campus Building 1 RF Project</v>
      </c>
      <c r="B2" s="80"/>
    </row>
    <row r="3" spans="1:6" ht="19.5" hidden="1" customHeight="1" thickBot="1" x14ac:dyDescent="0.3">
      <c r="A3" s="81" t="str">
        <f>[1]Cover!A3</f>
        <v>Build General Contractor Works</v>
      </c>
      <c r="B3" s="81"/>
    </row>
    <row r="4" spans="1:6" hidden="1" x14ac:dyDescent="0.25">
      <c r="A4" s="81" t="str">
        <f>[1]Cover!A4</f>
        <v xml:space="preserve">Issue Date: </v>
      </c>
      <c r="B4" s="81"/>
    </row>
    <row r="5" spans="1:6" hidden="1" x14ac:dyDescent="0.25">
      <c r="A5" s="2"/>
      <c r="B5" s="2"/>
    </row>
    <row r="6" spans="1:6" ht="19.5" hidden="1" customHeight="1" thickBot="1" x14ac:dyDescent="0.3">
      <c r="A6" s="80" t="str">
        <f>[1]Cover!A6</f>
        <v>Name of Tenderer:__________________________________</v>
      </c>
      <c r="B6" s="80"/>
    </row>
    <row r="7" spans="1:6" s="54" customFormat="1" ht="15.5" hidden="1" x14ac:dyDescent="0.25">
      <c r="A7" s="3"/>
      <c r="B7" s="3"/>
      <c r="C7" s="58"/>
    </row>
    <row r="8" spans="1:6" s="54" customFormat="1" ht="19.5" hidden="1" customHeight="1" thickBot="1" x14ac:dyDescent="0.3">
      <c r="A8" s="4" t="s">
        <v>0</v>
      </c>
      <c r="B8" s="3"/>
      <c r="C8" s="58"/>
    </row>
    <row r="9" spans="1:6" s="60" customFormat="1" ht="20.149999999999999" customHeight="1" x14ac:dyDescent="0.25">
      <c r="A9" s="5"/>
      <c r="B9" s="5"/>
      <c r="C9" s="88" t="s">
        <v>57</v>
      </c>
      <c r="D9" s="59"/>
      <c r="E9" s="59"/>
      <c r="F9" s="59"/>
    </row>
    <row r="10" spans="1:6" s="60" customFormat="1" ht="20.149999999999999" customHeight="1" x14ac:dyDescent="0.25">
      <c r="A10" s="86" t="s">
        <v>60</v>
      </c>
      <c r="B10" s="87">
        <v>38351.812814736739</v>
      </c>
      <c r="C10" s="89"/>
      <c r="D10" s="59"/>
      <c r="E10" s="59"/>
      <c r="F10" s="59"/>
    </row>
    <row r="11" spans="1:6" s="60" customFormat="1" ht="20.149999999999999" customHeight="1" thickBot="1" x14ac:dyDescent="0.3">
      <c r="A11" s="86" t="s">
        <v>61</v>
      </c>
      <c r="B11" s="87">
        <f>B10*0.09290304</f>
        <v>3563</v>
      </c>
      <c r="C11" s="90"/>
      <c r="D11" s="59"/>
      <c r="E11" s="59"/>
      <c r="F11" s="59"/>
    </row>
    <row r="12" spans="1:6" s="67" customFormat="1" ht="43" customHeight="1" x14ac:dyDescent="0.25">
      <c r="A12" s="6" t="s">
        <v>2</v>
      </c>
      <c r="B12" s="7" t="s">
        <v>3</v>
      </c>
      <c r="C12" s="64" t="s">
        <v>4</v>
      </c>
      <c r="D12" s="65"/>
      <c r="E12" s="65"/>
      <c r="F12" s="66"/>
    </row>
    <row r="13" spans="1:6" ht="13" outlineLevel="1" x14ac:dyDescent="0.3">
      <c r="A13" s="8"/>
      <c r="B13" s="82" t="s">
        <v>6</v>
      </c>
      <c r="C13" s="83"/>
      <c r="D13" s="66"/>
      <c r="E13" s="66"/>
      <c r="F13" s="66"/>
    </row>
    <row r="14" spans="1:6" s="67" customFormat="1" ht="13" outlineLevel="1" x14ac:dyDescent="0.25">
      <c r="A14" s="9" t="s">
        <v>5</v>
      </c>
      <c r="B14" s="10" t="s">
        <v>6</v>
      </c>
      <c r="C14" s="11">
        <v>117580.51</v>
      </c>
      <c r="D14" s="66"/>
      <c r="E14" s="66"/>
      <c r="F14" s="66"/>
    </row>
    <row r="15" spans="1:6" s="67" customFormat="1" ht="13" outlineLevel="1" x14ac:dyDescent="0.25">
      <c r="A15" s="12"/>
      <c r="B15" s="13"/>
      <c r="C15" s="14"/>
      <c r="D15" s="65"/>
      <c r="E15" s="65"/>
      <c r="F15" s="66"/>
    </row>
    <row r="16" spans="1:6" ht="13" outlineLevel="1" x14ac:dyDescent="0.3">
      <c r="A16" s="15"/>
      <c r="B16" s="78" t="s">
        <v>58</v>
      </c>
      <c r="C16" s="79"/>
      <c r="D16" s="66"/>
      <c r="E16" s="66"/>
      <c r="F16" s="66"/>
    </row>
    <row r="17" spans="1:6" outlineLevel="1" x14ac:dyDescent="0.25">
      <c r="A17" s="12" t="s">
        <v>7</v>
      </c>
      <c r="B17" s="13" t="s">
        <v>8</v>
      </c>
      <c r="C17" s="16">
        <v>31971.35</v>
      </c>
      <c r="D17" s="66"/>
      <c r="E17" s="66"/>
      <c r="F17" s="66"/>
    </row>
    <row r="18" spans="1:6" outlineLevel="1" x14ac:dyDescent="0.25">
      <c r="A18" s="12" t="s">
        <v>9</v>
      </c>
      <c r="B18" s="13" t="s">
        <v>10</v>
      </c>
      <c r="C18" s="16">
        <v>164529.81</v>
      </c>
      <c r="D18" s="66"/>
      <c r="E18" s="66"/>
      <c r="F18" s="66"/>
    </row>
    <row r="19" spans="1:6" outlineLevel="1" x14ac:dyDescent="0.25">
      <c r="A19" s="12" t="s">
        <v>11</v>
      </c>
      <c r="B19" s="13" t="s">
        <v>12</v>
      </c>
      <c r="C19" s="16">
        <v>107695.23</v>
      </c>
      <c r="D19" s="66"/>
      <c r="E19" s="66"/>
      <c r="F19" s="66"/>
    </row>
    <row r="20" spans="1:6" outlineLevel="1" x14ac:dyDescent="0.25">
      <c r="A20" s="12" t="s">
        <v>13</v>
      </c>
      <c r="B20" s="13" t="s">
        <v>14</v>
      </c>
      <c r="C20" s="16">
        <v>110418.08</v>
      </c>
      <c r="D20" s="66"/>
      <c r="E20" s="66"/>
      <c r="F20" s="66"/>
    </row>
    <row r="21" spans="1:6" outlineLevel="1" x14ac:dyDescent="0.25">
      <c r="A21" s="12" t="s">
        <v>15</v>
      </c>
      <c r="B21" s="13" t="s">
        <v>16</v>
      </c>
      <c r="C21" s="16">
        <v>89343.1</v>
      </c>
      <c r="D21" s="66"/>
      <c r="E21" s="66"/>
      <c r="F21" s="66"/>
    </row>
    <row r="22" spans="1:6" outlineLevel="1" x14ac:dyDescent="0.25">
      <c r="A22" s="12" t="s">
        <v>17</v>
      </c>
      <c r="B22" s="13" t="s">
        <v>18</v>
      </c>
      <c r="C22" s="16">
        <v>83722.58</v>
      </c>
      <c r="D22" s="66"/>
      <c r="E22" s="66"/>
      <c r="F22" s="66"/>
    </row>
    <row r="23" spans="1:6" outlineLevel="1" x14ac:dyDescent="0.25">
      <c r="A23" s="12" t="s">
        <v>19</v>
      </c>
      <c r="B23" s="13" t="s">
        <v>20</v>
      </c>
      <c r="C23" s="16">
        <v>106515.08</v>
      </c>
      <c r="D23" s="66"/>
      <c r="E23" s="66"/>
      <c r="F23" s="66"/>
    </row>
    <row r="24" spans="1:6" outlineLevel="1" x14ac:dyDescent="0.25">
      <c r="A24" s="12" t="s">
        <v>21</v>
      </c>
      <c r="B24" s="13" t="s">
        <v>22</v>
      </c>
      <c r="C24" s="16">
        <v>28250.04</v>
      </c>
      <c r="D24" s="66"/>
      <c r="E24" s="66"/>
      <c r="F24" s="66"/>
    </row>
    <row r="25" spans="1:6" outlineLevel="1" x14ac:dyDescent="0.25">
      <c r="A25" s="12" t="s">
        <v>23</v>
      </c>
      <c r="B25" s="13" t="s">
        <v>24</v>
      </c>
      <c r="C25" s="16">
        <v>13839.78</v>
      </c>
      <c r="D25" s="66"/>
      <c r="E25" s="66"/>
      <c r="F25" s="66"/>
    </row>
    <row r="26" spans="1:6" outlineLevel="1" x14ac:dyDescent="0.25">
      <c r="A26" s="12" t="s">
        <v>25</v>
      </c>
      <c r="B26" s="13" t="s">
        <v>26</v>
      </c>
      <c r="C26" s="16">
        <v>44805.84</v>
      </c>
      <c r="D26" s="66"/>
      <c r="E26" s="66"/>
      <c r="F26" s="66"/>
    </row>
    <row r="27" spans="1:6" outlineLevel="1" x14ac:dyDescent="0.25">
      <c r="A27" s="12" t="s">
        <v>27</v>
      </c>
      <c r="B27" s="13" t="s">
        <v>28</v>
      </c>
      <c r="C27" s="16">
        <v>4091.36</v>
      </c>
      <c r="D27" s="66"/>
      <c r="E27" s="66"/>
      <c r="F27" s="66"/>
    </row>
    <row r="28" spans="1:6" outlineLevel="1" x14ac:dyDescent="0.25">
      <c r="A28" s="12" t="s">
        <v>29</v>
      </c>
      <c r="B28" s="13" t="s">
        <v>30</v>
      </c>
      <c r="C28" s="16">
        <v>7163.4</v>
      </c>
      <c r="D28" s="66"/>
      <c r="E28" s="66"/>
      <c r="F28" s="66"/>
    </row>
    <row r="29" spans="1:6" outlineLevel="1" x14ac:dyDescent="0.25">
      <c r="A29" s="12" t="s">
        <v>31</v>
      </c>
      <c r="B29" s="13" t="s">
        <v>32</v>
      </c>
      <c r="C29" s="16">
        <v>30646.74</v>
      </c>
      <c r="D29" s="66"/>
      <c r="E29" s="66"/>
      <c r="F29" s="66"/>
    </row>
    <row r="30" spans="1:6" outlineLevel="1" x14ac:dyDescent="0.25">
      <c r="A30" s="12"/>
      <c r="B30" s="13"/>
      <c r="C30" s="14"/>
      <c r="D30" s="66"/>
      <c r="E30" s="66"/>
      <c r="F30" s="66"/>
    </row>
    <row r="31" spans="1:6" ht="13" outlineLevel="1" x14ac:dyDescent="0.3">
      <c r="A31" s="15"/>
      <c r="B31" s="78" t="s">
        <v>59</v>
      </c>
      <c r="C31" s="79"/>
      <c r="D31" s="66"/>
      <c r="E31" s="66"/>
      <c r="F31" s="66"/>
    </row>
    <row r="32" spans="1:6" outlineLevel="1" x14ac:dyDescent="0.25">
      <c r="A32" s="12" t="s">
        <v>33</v>
      </c>
      <c r="B32" s="13" t="s">
        <v>34</v>
      </c>
      <c r="C32" s="16">
        <v>73736.899999999994</v>
      </c>
      <c r="D32" s="66"/>
      <c r="E32" s="66"/>
      <c r="F32" s="66"/>
    </row>
    <row r="33" spans="1:21" s="67" customFormat="1" ht="13" outlineLevel="1" x14ac:dyDescent="0.25">
      <c r="A33" s="12" t="s">
        <v>35</v>
      </c>
      <c r="B33" s="13" t="s">
        <v>36</v>
      </c>
      <c r="C33" s="16">
        <v>184679.67</v>
      </c>
      <c r="D33" s="66"/>
      <c r="E33" s="65"/>
      <c r="F33" s="66"/>
    </row>
    <row r="34" spans="1:21" outlineLevel="1" x14ac:dyDescent="0.25">
      <c r="A34" s="12" t="s">
        <v>37</v>
      </c>
      <c r="B34" s="13" t="s">
        <v>38</v>
      </c>
      <c r="C34" s="16">
        <v>5438.63</v>
      </c>
      <c r="D34" s="66"/>
      <c r="E34" s="66"/>
      <c r="F34" s="66"/>
    </row>
    <row r="35" spans="1:21" s="70" customFormat="1" ht="15.5" outlineLevel="1" x14ac:dyDescent="0.25">
      <c r="A35" s="12" t="s">
        <v>39</v>
      </c>
      <c r="B35" s="13" t="s">
        <v>40</v>
      </c>
      <c r="C35" s="16">
        <v>181097.61</v>
      </c>
      <c r="D35" s="68"/>
      <c r="E35" s="69"/>
      <c r="F35" s="68"/>
    </row>
    <row r="36" spans="1:21" s="67" customFormat="1" ht="13" x14ac:dyDescent="0.25">
      <c r="A36" s="12" t="s">
        <v>41</v>
      </c>
      <c r="B36" s="13" t="s">
        <v>42</v>
      </c>
      <c r="C36" s="16">
        <v>84319.44</v>
      </c>
      <c r="D36" s="65"/>
      <c r="E36" s="65"/>
      <c r="F36" s="66"/>
    </row>
    <row r="37" spans="1:21" s="73" customFormat="1" ht="13" x14ac:dyDescent="0.25">
      <c r="A37" s="12" t="s">
        <v>43</v>
      </c>
      <c r="B37" s="13" t="s">
        <v>44</v>
      </c>
      <c r="C37" s="16">
        <v>629002.80000000005</v>
      </c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76"/>
      <c r="Q37" s="76"/>
      <c r="R37" s="76"/>
      <c r="S37" s="76"/>
      <c r="T37" s="76"/>
      <c r="U37" s="76"/>
    </row>
    <row r="38" spans="1:21" x14ac:dyDescent="0.25">
      <c r="A38" s="12" t="s">
        <v>45</v>
      </c>
      <c r="B38" s="13" t="s">
        <v>46</v>
      </c>
      <c r="C38" s="16">
        <v>43483.360000000001</v>
      </c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77"/>
      <c r="Q38" s="77"/>
      <c r="R38" s="77"/>
      <c r="S38" s="77"/>
      <c r="T38" s="77"/>
      <c r="U38" s="77"/>
    </row>
    <row r="39" spans="1:21" s="74" customFormat="1" ht="18" x14ac:dyDescent="0.25">
      <c r="A39" s="12" t="s">
        <v>47</v>
      </c>
      <c r="B39" s="13" t="s">
        <v>48</v>
      </c>
      <c r="C39" s="16">
        <v>64058.5</v>
      </c>
    </row>
    <row r="40" spans="1:21" x14ac:dyDescent="0.25">
      <c r="A40" s="12" t="s">
        <v>49</v>
      </c>
      <c r="B40" s="13" t="s">
        <v>50</v>
      </c>
      <c r="C40" s="16">
        <v>94626.79</v>
      </c>
    </row>
    <row r="41" spans="1:21" x14ac:dyDescent="0.25">
      <c r="A41" s="17" t="s">
        <v>51</v>
      </c>
      <c r="B41" s="18" t="s">
        <v>52</v>
      </c>
      <c r="C41" s="19">
        <v>25946.59</v>
      </c>
    </row>
    <row r="42" spans="1:21" ht="13" thickBot="1" x14ac:dyDescent="0.3">
      <c r="A42" s="20"/>
      <c r="B42" s="21"/>
      <c r="C42" s="22"/>
    </row>
    <row r="43" spans="1:21" ht="16" thickTop="1" x14ac:dyDescent="0.35">
      <c r="A43" s="23"/>
      <c r="B43" s="24" t="s">
        <v>53</v>
      </c>
      <c r="C43" s="25">
        <f>SUM(C14:C41)</f>
        <v>2326963.19</v>
      </c>
    </row>
    <row r="44" spans="1:21" ht="14" x14ac:dyDescent="0.25">
      <c r="A44"/>
      <c r="B44"/>
      <c r="C44"/>
    </row>
    <row r="45" spans="1:21" ht="14" x14ac:dyDescent="0.25">
      <c r="A45"/>
      <c r="B45"/>
      <c r="C45"/>
    </row>
    <row r="46" spans="1:21" ht="14" x14ac:dyDescent="0.25">
      <c r="A46"/>
      <c r="B46"/>
      <c r="C46"/>
    </row>
    <row r="47" spans="1:21" ht="14" x14ac:dyDescent="0.25">
      <c r="A47"/>
      <c r="B47"/>
      <c r="C47"/>
    </row>
    <row r="48" spans="1:21" x14ac:dyDescent="0.25">
      <c r="C48" s="75"/>
    </row>
    <row r="49" spans="3:3" x14ac:dyDescent="0.25">
      <c r="C49" s="75"/>
    </row>
    <row r="50" spans="3:3" x14ac:dyDescent="0.25">
      <c r="C50" s="75"/>
    </row>
    <row r="51" spans="3:3" x14ac:dyDescent="0.25">
      <c r="C51" s="75"/>
    </row>
    <row r="52" spans="3:3" x14ac:dyDescent="0.25">
      <c r="C52" s="75"/>
    </row>
    <row r="53" spans="3:3" x14ac:dyDescent="0.25">
      <c r="C53" s="75"/>
    </row>
    <row r="54" spans="3:3" x14ac:dyDescent="0.25">
      <c r="C54" s="75"/>
    </row>
    <row r="55" spans="3:3" x14ac:dyDescent="0.25">
      <c r="C55" s="75"/>
    </row>
    <row r="56" spans="3:3" x14ac:dyDescent="0.25">
      <c r="C56" s="75"/>
    </row>
    <row r="57" spans="3:3" x14ac:dyDescent="0.25">
      <c r="C57" s="75"/>
    </row>
    <row r="58" spans="3:3" x14ac:dyDescent="0.25">
      <c r="C58" s="75"/>
    </row>
    <row r="59" spans="3:3" x14ac:dyDescent="0.25">
      <c r="C59" s="75"/>
    </row>
    <row r="60" spans="3:3" x14ac:dyDescent="0.25">
      <c r="C60" s="75"/>
    </row>
    <row r="61" spans="3:3" x14ac:dyDescent="0.25">
      <c r="C61" s="75"/>
    </row>
    <row r="62" spans="3:3" x14ac:dyDescent="0.25">
      <c r="C62" s="75"/>
    </row>
    <row r="63" spans="3:3" x14ac:dyDescent="0.25">
      <c r="C63" s="75"/>
    </row>
    <row r="64" spans="3:3" x14ac:dyDescent="0.25">
      <c r="C64" s="75"/>
    </row>
    <row r="65" spans="3:3" x14ac:dyDescent="0.25">
      <c r="C65" s="75"/>
    </row>
    <row r="66" spans="3:3" x14ac:dyDescent="0.25">
      <c r="C66" s="75"/>
    </row>
    <row r="67" spans="3:3" x14ac:dyDescent="0.25">
      <c r="C67" s="75"/>
    </row>
    <row r="68" spans="3:3" x14ac:dyDescent="0.25">
      <c r="C68" s="75"/>
    </row>
    <row r="69" spans="3:3" x14ac:dyDescent="0.25">
      <c r="C69" s="75"/>
    </row>
    <row r="70" spans="3:3" x14ac:dyDescent="0.25">
      <c r="C70" s="75"/>
    </row>
    <row r="71" spans="3:3" x14ac:dyDescent="0.25">
      <c r="C71" s="75"/>
    </row>
    <row r="72" spans="3:3" x14ac:dyDescent="0.25">
      <c r="C72" s="75"/>
    </row>
    <row r="73" spans="3:3" x14ac:dyDescent="0.25">
      <c r="C73" s="75"/>
    </row>
    <row r="74" spans="3:3" x14ac:dyDescent="0.25">
      <c r="C74" s="75"/>
    </row>
    <row r="75" spans="3:3" x14ac:dyDescent="0.25">
      <c r="C75" s="75"/>
    </row>
    <row r="76" spans="3:3" x14ac:dyDescent="0.25">
      <c r="C76" s="75"/>
    </row>
    <row r="77" spans="3:3" x14ac:dyDescent="0.25">
      <c r="C77" s="75"/>
    </row>
    <row r="78" spans="3:3" x14ac:dyDescent="0.25">
      <c r="C78" s="75"/>
    </row>
    <row r="79" spans="3:3" x14ac:dyDescent="0.25">
      <c r="C79" s="75"/>
    </row>
    <row r="80" spans="3:3" x14ac:dyDescent="0.25">
      <c r="C80" s="75"/>
    </row>
    <row r="81" spans="3:3" x14ac:dyDescent="0.25">
      <c r="C81" s="75"/>
    </row>
    <row r="82" spans="3:3" x14ac:dyDescent="0.25">
      <c r="C82" s="75"/>
    </row>
    <row r="83" spans="3:3" x14ac:dyDescent="0.25">
      <c r="C83" s="75"/>
    </row>
    <row r="84" spans="3:3" x14ac:dyDescent="0.25">
      <c r="C84" s="75"/>
    </row>
    <row r="85" spans="3:3" x14ac:dyDescent="0.25">
      <c r="C85" s="75"/>
    </row>
    <row r="86" spans="3:3" x14ac:dyDescent="0.25">
      <c r="C86" s="75"/>
    </row>
    <row r="87" spans="3:3" x14ac:dyDescent="0.25">
      <c r="C87" s="75"/>
    </row>
    <row r="88" spans="3:3" x14ac:dyDescent="0.25">
      <c r="C88" s="75"/>
    </row>
    <row r="89" spans="3:3" x14ac:dyDescent="0.25">
      <c r="C89" s="75"/>
    </row>
    <row r="90" spans="3:3" x14ac:dyDescent="0.25">
      <c r="C90" s="75"/>
    </row>
    <row r="91" spans="3:3" x14ac:dyDescent="0.25">
      <c r="C91" s="75"/>
    </row>
    <row r="92" spans="3:3" x14ac:dyDescent="0.25">
      <c r="C92" s="75"/>
    </row>
    <row r="93" spans="3:3" x14ac:dyDescent="0.25">
      <c r="C93" s="75"/>
    </row>
    <row r="94" spans="3:3" x14ac:dyDescent="0.25">
      <c r="C94" s="75"/>
    </row>
    <row r="95" spans="3:3" x14ac:dyDescent="0.25">
      <c r="C95" s="75"/>
    </row>
    <row r="96" spans="3:3" x14ac:dyDescent="0.25">
      <c r="C96" s="75"/>
    </row>
    <row r="97" spans="3:3" x14ac:dyDescent="0.25">
      <c r="C97" s="75"/>
    </row>
    <row r="98" spans="3:3" x14ac:dyDescent="0.25">
      <c r="C98" s="75"/>
    </row>
    <row r="99" spans="3:3" x14ac:dyDescent="0.25">
      <c r="C99" s="75"/>
    </row>
    <row r="100" spans="3:3" x14ac:dyDescent="0.25">
      <c r="C100" s="75"/>
    </row>
    <row r="101" spans="3:3" x14ac:dyDescent="0.25">
      <c r="C101" s="75"/>
    </row>
    <row r="102" spans="3:3" x14ac:dyDescent="0.25">
      <c r="C102" s="75"/>
    </row>
    <row r="103" spans="3:3" x14ac:dyDescent="0.25">
      <c r="C103" s="75"/>
    </row>
    <row r="104" spans="3:3" x14ac:dyDescent="0.25">
      <c r="C104" s="75"/>
    </row>
    <row r="105" spans="3:3" x14ac:dyDescent="0.25">
      <c r="C105" s="75"/>
    </row>
    <row r="106" spans="3:3" x14ac:dyDescent="0.25">
      <c r="C106" s="75"/>
    </row>
    <row r="107" spans="3:3" x14ac:dyDescent="0.25">
      <c r="C107" s="75"/>
    </row>
    <row r="108" spans="3:3" x14ac:dyDescent="0.25">
      <c r="C108" s="75"/>
    </row>
    <row r="109" spans="3:3" x14ac:dyDescent="0.25">
      <c r="C109" s="75"/>
    </row>
    <row r="110" spans="3:3" x14ac:dyDescent="0.25">
      <c r="C110" s="75"/>
    </row>
    <row r="111" spans="3:3" x14ac:dyDescent="0.25">
      <c r="C111" s="75"/>
    </row>
    <row r="112" spans="3:3" x14ac:dyDescent="0.25">
      <c r="C112" s="75"/>
    </row>
    <row r="113" spans="3:3" x14ac:dyDescent="0.25">
      <c r="C113" s="75"/>
    </row>
    <row r="114" spans="3:3" x14ac:dyDescent="0.25">
      <c r="C114" s="75"/>
    </row>
    <row r="115" spans="3:3" x14ac:dyDescent="0.25">
      <c r="C115" s="75"/>
    </row>
    <row r="116" spans="3:3" x14ac:dyDescent="0.25">
      <c r="C116" s="75"/>
    </row>
    <row r="117" spans="3:3" x14ac:dyDescent="0.25">
      <c r="C117" s="75"/>
    </row>
    <row r="118" spans="3:3" x14ac:dyDescent="0.25">
      <c r="C118" s="75"/>
    </row>
    <row r="119" spans="3:3" x14ac:dyDescent="0.25">
      <c r="C119" s="75"/>
    </row>
    <row r="120" spans="3:3" x14ac:dyDescent="0.25">
      <c r="C120" s="75"/>
    </row>
    <row r="121" spans="3:3" x14ac:dyDescent="0.25">
      <c r="C121" s="75"/>
    </row>
    <row r="122" spans="3:3" x14ac:dyDescent="0.25">
      <c r="C122" s="75"/>
    </row>
    <row r="123" spans="3:3" x14ac:dyDescent="0.25">
      <c r="C123" s="75"/>
    </row>
    <row r="124" spans="3:3" x14ac:dyDescent="0.25">
      <c r="C124" s="75"/>
    </row>
    <row r="125" spans="3:3" x14ac:dyDescent="0.25">
      <c r="C125" s="75"/>
    </row>
    <row r="126" spans="3:3" x14ac:dyDescent="0.25">
      <c r="C126" s="75"/>
    </row>
    <row r="127" spans="3:3" x14ac:dyDescent="0.25">
      <c r="C127" s="75"/>
    </row>
    <row r="128" spans="3:3" x14ac:dyDescent="0.25">
      <c r="C128" s="75"/>
    </row>
    <row r="129" spans="3:3" x14ac:dyDescent="0.25">
      <c r="C129" s="75"/>
    </row>
    <row r="130" spans="3:3" x14ac:dyDescent="0.25">
      <c r="C130" s="75"/>
    </row>
    <row r="131" spans="3:3" x14ac:dyDescent="0.25">
      <c r="C131" s="75"/>
    </row>
    <row r="132" spans="3:3" x14ac:dyDescent="0.25">
      <c r="C132" s="75"/>
    </row>
    <row r="133" spans="3:3" x14ac:dyDescent="0.25">
      <c r="C133" s="75"/>
    </row>
    <row r="134" spans="3:3" x14ac:dyDescent="0.25">
      <c r="C134" s="75"/>
    </row>
    <row r="135" spans="3:3" x14ac:dyDescent="0.25">
      <c r="C135" s="75"/>
    </row>
    <row r="136" spans="3:3" x14ac:dyDescent="0.25">
      <c r="C136" s="75"/>
    </row>
    <row r="137" spans="3:3" x14ac:dyDescent="0.25">
      <c r="C137" s="75"/>
    </row>
    <row r="138" spans="3:3" x14ac:dyDescent="0.25">
      <c r="C138" s="75"/>
    </row>
    <row r="139" spans="3:3" x14ac:dyDescent="0.25">
      <c r="C139" s="75"/>
    </row>
    <row r="140" spans="3:3" x14ac:dyDescent="0.25">
      <c r="C140" s="75"/>
    </row>
    <row r="141" spans="3:3" x14ac:dyDescent="0.25">
      <c r="C141" s="75"/>
    </row>
    <row r="142" spans="3:3" x14ac:dyDescent="0.25">
      <c r="C142" s="75"/>
    </row>
    <row r="143" spans="3:3" x14ac:dyDescent="0.25">
      <c r="C143" s="75"/>
    </row>
    <row r="144" spans="3:3" x14ac:dyDescent="0.25">
      <c r="C144" s="75"/>
    </row>
    <row r="145" spans="3:3" x14ac:dyDescent="0.25">
      <c r="C145" s="75"/>
    </row>
    <row r="146" spans="3:3" x14ac:dyDescent="0.25">
      <c r="C146" s="75"/>
    </row>
    <row r="147" spans="3:3" x14ac:dyDescent="0.25">
      <c r="C147" s="75"/>
    </row>
    <row r="148" spans="3:3" x14ac:dyDescent="0.25">
      <c r="C148" s="75"/>
    </row>
  </sheetData>
  <mergeCells count="8">
    <mergeCell ref="B31:C31"/>
    <mergeCell ref="A2:B2"/>
    <mergeCell ref="A3:B3"/>
    <mergeCell ref="A4:B4"/>
    <mergeCell ref="A6:B6"/>
    <mergeCell ref="B13:C13"/>
    <mergeCell ref="B16:C16"/>
    <mergeCell ref="C9:C1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Vendor-A</vt:lpstr>
      <vt:lpstr>Vendor-B</vt:lpstr>
      <vt:lpstr>Vendor-C</vt:lpstr>
      <vt:lpstr>Vendor-D</vt:lpstr>
      <vt:lpstr>Vendor-E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Liu (bei jing zhong liang lian hang wu y)</dc:creator>
  <cp:lastModifiedBy>Joy Liu (bei jing zhong liang lian hang wu y)</cp:lastModifiedBy>
  <cp:lastPrinted>2026-08-14T00:14:38Z</cp:lastPrinted>
  <dcterms:created xsi:type="dcterms:W3CDTF">2026-08-14T00:06:40Z</dcterms:created>
  <dcterms:modified xsi:type="dcterms:W3CDTF">2026-08-14T00:51:28Z</dcterms:modified>
</cp:coreProperties>
</file>